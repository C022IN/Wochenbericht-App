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U:\Lohn\LuG - allgemeine Berechtigung\Formulare\Wochenberichte\Vorlagen\2026\02 Februar\"/>
    </mc:Choice>
  </mc:AlternateContent>
  <xr:revisionPtr revIDLastSave="0" documentId="8_{BB9F3437-2BD4-4A04-9786-082E7D8DEBC2}" xr6:coauthVersionLast="47" xr6:coauthVersionMax="47" xr10:uidLastSave="{00000000-0000-0000-0000-000000000000}"/>
  <bookViews>
    <workbookView xWindow="3810" yWindow="3345" windowWidth="28785" windowHeight="15345" xr2:uid="{00000000-000D-0000-FFFF-FFFF00000000}"/>
  </bookViews>
  <sheets>
    <sheet name="Wochenbericht" sheetId="10" r:id="rId1"/>
    <sheet name="Uhrzeiten - Zulage" sheetId="11" r:id="rId2"/>
  </sheets>
  <definedNames>
    <definedName name="_xlnm.Print_Area" localSheetId="0">Wochenbericht!$A$1:$X$59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0" l="1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10" i="10"/>
  <c r="O1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 l="1"/>
  <c r="P50" i="10" s="1"/>
  <c r="O50" i="10"/>
</calcChain>
</file>

<file path=xl/sharedStrings.xml><?xml version="1.0" encoding="utf-8"?>
<sst xmlns="http://schemas.openxmlformats.org/spreadsheetml/2006/main" count="49" uniqueCount="49">
  <si>
    <t>Mo</t>
  </si>
  <si>
    <t>Di</t>
  </si>
  <si>
    <t>Mi</t>
  </si>
  <si>
    <t>Do</t>
  </si>
  <si>
    <t>Fr</t>
  </si>
  <si>
    <t>Sa</t>
  </si>
  <si>
    <t>So</t>
  </si>
  <si>
    <t>Vorname</t>
  </si>
  <si>
    <t>beteiligter
Arbeitskollege
oder allein</t>
  </si>
  <si>
    <t>Wochenbericht</t>
  </si>
  <si>
    <t>Datum:</t>
  </si>
  <si>
    <t>Kalendertage, Datum:</t>
  </si>
  <si>
    <t xml:space="preserve">   Arbeitsstelle 
   Name, Ort:
</t>
  </si>
  <si>
    <t xml:space="preserve">Arbeitsstätte/Projekte:   </t>
  </si>
  <si>
    <t xml:space="preserve">Art der Arbeit:   </t>
  </si>
  <si>
    <r>
      <t xml:space="preserve">Aus-
löse
</t>
    </r>
    <r>
      <rPr>
        <b/>
        <sz val="11"/>
        <rFont val="Calibri"/>
        <family val="2"/>
      </rPr>
      <t>NA
FA</t>
    </r>
  </si>
  <si>
    <t xml:space="preserve">
   Sonstige
   Bemerkungen:</t>
  </si>
  <si>
    <t xml:space="preserve">Gesamtstunden:   </t>
  </si>
  <si>
    <t>von:</t>
  </si>
  <si>
    <t>bis:</t>
  </si>
  <si>
    <t>Bitte Wochenberichte wöchentlich im Lohnbüro abgeben:</t>
  </si>
  <si>
    <r>
      <t xml:space="preserve">Hauptsitz: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Burgkunstadt                                                                  Niederlassungen:  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München                                                      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Alzenau                                                          </t>
    </r>
    <r>
      <rPr>
        <sz val="10"/>
        <rFont val="Symbol"/>
        <family val="1"/>
        <charset val="2"/>
      </rPr>
      <t>·</t>
    </r>
    <r>
      <rPr>
        <sz val="10"/>
        <rFont val="Calibri"/>
        <family val="2"/>
      </rPr>
      <t xml:space="preserve"> </t>
    </r>
    <r>
      <rPr>
        <sz val="10"/>
        <rFont val="Calibri"/>
        <family val="2"/>
      </rPr>
      <t xml:space="preserve">Neustadt / Orla </t>
    </r>
  </si>
  <si>
    <t xml:space="preserve"> Name   </t>
  </si>
  <si>
    <t>Bau-
stellen
Ende</t>
  </si>
  <si>
    <t>Pausen
Std</t>
  </si>
  <si>
    <t>Unterschrift Monteur</t>
  </si>
  <si>
    <t>KFZ-Kennzeichen:</t>
  </si>
  <si>
    <t>Kilometerstand:</t>
  </si>
  <si>
    <r>
      <t xml:space="preserve">6 Stunden - 9 Stunden
</t>
    </r>
    <r>
      <rPr>
        <b/>
        <sz val="10"/>
        <rFont val="Calibri"/>
        <family val="2"/>
      </rPr>
      <t xml:space="preserve">Pause: 30 Minuten
</t>
    </r>
    <r>
      <rPr>
        <sz val="10"/>
        <rFont val="Calibri"/>
        <family val="2"/>
      </rPr>
      <t>9 Stunden - 10 Stunden</t>
    </r>
    <r>
      <rPr>
        <b/>
        <sz val="10"/>
        <rFont val="Calibri"/>
        <family val="2"/>
      </rPr>
      <t xml:space="preserve">
Pause: 45 Minuten</t>
    </r>
  </si>
  <si>
    <t>Bau-
stellen   
Beginn</t>
  </si>
  <si>
    <t>Gesamt
Std.
inkl. Pause</t>
  </si>
  <si>
    <t>KW</t>
  </si>
  <si>
    <t>Arbeitszeit
abzgl. Pause</t>
  </si>
  <si>
    <t>Höchstzulässige Arbeitszeit
max. 10 Stunden / Tag</t>
  </si>
  <si>
    <r>
      <rPr>
        <b/>
        <u/>
        <sz val="10"/>
        <color indexed="10"/>
        <rFont val="Calibri"/>
        <family val="2"/>
      </rPr>
      <t>WICHTIG</t>
    </r>
    <r>
      <rPr>
        <b/>
        <sz val="10"/>
        <rFont val="Calibri"/>
        <family val="2"/>
      </rPr>
      <t xml:space="preserve">
zuständiger
Bauleiter</t>
    </r>
  </si>
  <si>
    <r>
      <t xml:space="preserve">        Lohn 
</t>
    </r>
    <r>
      <rPr>
        <b/>
        <sz val="12"/>
        <rFont val="Calibri"/>
        <family val="2"/>
      </rPr>
      <t xml:space="preserve">S </t>
    </r>
    <r>
      <rPr>
        <b/>
        <sz val="7"/>
        <rFont val="Calibri"/>
        <family val="2"/>
      </rPr>
      <t>= Std</t>
    </r>
    <r>
      <rPr>
        <b/>
        <sz val="12"/>
        <rFont val="Calibri"/>
        <family val="2"/>
      </rPr>
      <t xml:space="preserve">
L</t>
    </r>
    <r>
      <rPr>
        <b/>
        <sz val="7"/>
        <rFont val="Calibri"/>
        <family val="2"/>
      </rPr>
      <t xml:space="preserve"> = Akkord</t>
    </r>
  </si>
  <si>
    <r>
      <t xml:space="preserve"> </t>
    </r>
    <r>
      <rPr>
        <b/>
        <sz val="12"/>
        <rFont val="Calibri"/>
        <family val="2"/>
      </rPr>
      <t>S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>Stundenlohn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 xml:space="preserve">L </t>
    </r>
    <r>
      <rPr>
        <sz val="12"/>
        <rFont val="Calibri"/>
        <family val="2"/>
      </rPr>
      <t xml:space="preserve">= </t>
    </r>
    <r>
      <rPr>
        <sz val="10"/>
        <rFont val="Calibri"/>
        <family val="2"/>
      </rPr>
      <t xml:space="preserve">Leistunglohn </t>
    </r>
    <r>
      <rPr>
        <sz val="8"/>
        <rFont val="Calibri"/>
        <family val="2"/>
      </rPr>
      <t>(Akkord)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 xml:space="preserve">NA </t>
    </r>
    <r>
      <rPr>
        <sz val="12"/>
        <rFont val="Calibri"/>
        <family val="2"/>
      </rPr>
      <t xml:space="preserve">= </t>
    </r>
    <r>
      <rPr>
        <sz val="10"/>
        <rFont val="Calibri"/>
        <family val="2"/>
      </rPr>
      <t>Nahauslösung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FA</t>
    </r>
    <r>
      <rPr>
        <sz val="12"/>
        <rFont val="Calibri"/>
        <family val="2"/>
      </rPr>
      <t xml:space="preserve"> =</t>
    </r>
    <r>
      <rPr>
        <sz val="10"/>
        <rFont val="Calibri"/>
        <family val="2"/>
      </rPr>
      <t xml:space="preserve"> Fernauslösung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K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 xml:space="preserve">Krank   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 xml:space="preserve">U </t>
    </r>
    <r>
      <rPr>
        <sz val="12"/>
        <rFont val="Calibri"/>
        <family val="2"/>
      </rPr>
      <t xml:space="preserve">= </t>
    </r>
    <r>
      <rPr>
        <sz val="10"/>
        <rFont val="Calibri"/>
        <family val="2"/>
      </rPr>
      <t>Urlaub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F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>Feiertag</t>
    </r>
    <r>
      <rPr>
        <sz val="12"/>
        <rFont val="Calibri"/>
        <family val="2"/>
      </rPr>
      <t xml:space="preserve">
 </t>
    </r>
    <r>
      <rPr>
        <b/>
        <sz val="12"/>
        <rFont val="Calibri"/>
        <family val="2"/>
      </rPr>
      <t>UB</t>
    </r>
    <r>
      <rPr>
        <sz val="12"/>
        <rFont val="Calibri"/>
        <family val="2"/>
      </rPr>
      <t xml:space="preserve"> = </t>
    </r>
    <r>
      <rPr>
        <sz val="10"/>
        <rFont val="Calibri"/>
        <family val="2"/>
      </rPr>
      <t>unbezahlt</t>
    </r>
  </si>
  <si>
    <r>
      <t xml:space="preserve">gesetzliche
</t>
    </r>
    <r>
      <rPr>
        <b/>
        <sz val="10"/>
        <rFont val="Calibri"/>
        <family val="2"/>
      </rPr>
      <t>Mindestpausen bei Arbeitszeiten von:</t>
    </r>
  </si>
  <si>
    <t>Zulage</t>
  </si>
  <si>
    <t>NZ</t>
  </si>
  <si>
    <t>Nacht</t>
  </si>
  <si>
    <t>Zulage
NZ</t>
  </si>
  <si>
    <t>SM-Nr. (Telekom)
Blatt-Nr. (Geothermie)</t>
  </si>
  <si>
    <t>Kulmbacher Straße 72 · 96224 Burgkunstadt · Tel.: +49 9572 7566-0 · Fax: +49 9572 7566-66 · www.axians.de · E-Mail: info-ofm@axians.de</t>
  </si>
  <si>
    <t xml:space="preserve">Axians OFM GmbH &amp; Co. KG </t>
  </si>
  <si>
    <t xml:space="preserve"> Projektnummer</t>
  </si>
  <si>
    <r>
      <t xml:space="preserve">Nur bei Kabel- schachtsanierung
</t>
    </r>
    <r>
      <rPr>
        <b/>
        <sz val="10"/>
        <rFont val="Calibri"/>
        <family val="2"/>
      </rPr>
      <t>Kabel schachtnr.</t>
    </r>
    <r>
      <rPr>
        <b/>
        <sz val="10"/>
        <rFont val="Calibri"/>
        <family val="2"/>
        <scheme val="minor"/>
      </rPr>
      <t xml:space="preserve">
Blatt-Nr.</t>
    </r>
  </si>
  <si>
    <t>eMail: lohn.ofm@axians.de</t>
  </si>
  <si>
    <t>23.02.2026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</si>
</sst>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Arial"/>
    </font>
    <font>
      <sz val="10"/>
      <name val="Arial"/>
      <family val="2"/>
    </font>
    <font>
      <b/>
      <sz val="8"/>
      <name val="Bookman Old Style"/>
      <family val="1"/>
    </font>
    <font>
      <b/>
      <sz val="24"/>
      <name val="Arial Black"/>
      <family val="2"/>
    </font>
    <font>
      <b/>
      <sz val="12"/>
      <name val="Arial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0"/>
      <name val="Symbol"/>
      <family val="1"/>
      <charset val="2"/>
    </font>
    <font>
      <sz val="12"/>
      <name val="Arial"/>
      <family val="2"/>
    </font>
    <font>
      <b/>
      <sz val="15"/>
      <name val="Arial"/>
      <family val="2"/>
    </font>
    <font>
      <sz val="12"/>
      <name val="Calibri"/>
      <family val="2"/>
    </font>
    <font>
      <b/>
      <sz val="20"/>
      <name val="Arial"/>
      <family val="2"/>
    </font>
    <font>
      <b/>
      <sz val="26"/>
      <name val="Arial Black"/>
      <family val="2"/>
    </font>
    <font>
      <b/>
      <sz val="10"/>
      <name val="Calibri"/>
      <family val="2"/>
    </font>
    <font>
      <b/>
      <u/>
      <sz val="10"/>
      <color indexed="10"/>
      <name val="Calibri"/>
      <family val="2"/>
    </font>
    <font>
      <b/>
      <sz val="7"/>
      <name val="Calibri"/>
      <family val="2"/>
    </font>
    <font>
      <sz val="8"/>
      <name val="Calibri"/>
      <family val="2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name val="Calibri"/>
      <family val="2"/>
      <scheme val="minor"/>
    </font>
    <font>
      <b/>
      <sz val="19"/>
      <name val="Calibri"/>
      <family val="2"/>
      <scheme val="minor"/>
    </font>
    <font>
      <b/>
      <sz val="15"/>
      <name val="Calibri"/>
      <family val="2"/>
      <scheme val="minor"/>
    </font>
    <font>
      <b/>
      <sz val="18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Arial"/>
      <family val="2"/>
    </font>
    <font>
      <b/>
      <sz val="10"/>
      <color rgb="FF0070C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medium">
        <color theme="1" tint="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/>
      <diagonal/>
    </border>
    <border>
      <left style="thin">
        <color theme="1" tint="0.34998626667073579"/>
      </left>
      <right style="medium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thin">
        <color theme="1" tint="0.499984740745262"/>
      </left>
      <right style="medium">
        <color theme="1" tint="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dotted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otted">
        <color theme="1" tint="0.34998626667073579"/>
      </bottom>
      <diagonal/>
    </border>
    <border>
      <left/>
      <right/>
      <top style="dotted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dotted">
        <color theme="1" tint="0.34998626667073579"/>
      </left>
      <right style="dotted">
        <color theme="1" tint="0.34998626667073579"/>
      </right>
      <top style="medium">
        <color theme="1" tint="0.34998626667073579"/>
      </top>
      <bottom style="dotted">
        <color theme="1" tint="0.34998626667073579"/>
      </bottom>
      <diagonal/>
    </border>
    <border>
      <left style="dotted">
        <color theme="1" tint="0.34998626667073579"/>
      </left>
      <right style="dotted">
        <color theme="1" tint="0.34998626667073579"/>
      </right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dotted">
        <color theme="1" tint="0.499984740745262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 style="thin">
        <color theme="1" tint="0.499984740745262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/>
      <right style="medium">
        <color theme="1" tint="0.34998626667073579"/>
      </right>
      <top/>
      <bottom style="dotted">
        <color theme="1" tint="0.499984740745262"/>
      </bottom>
      <diagonal/>
    </border>
    <border>
      <left style="medium">
        <color rgb="FF595959"/>
      </left>
      <right style="medium">
        <color rgb="FF595959"/>
      </right>
      <top/>
      <bottom style="thin">
        <color rgb="FF808080"/>
      </bottom>
      <diagonal/>
    </border>
    <border>
      <left/>
      <right style="medium">
        <color rgb="FF595959"/>
      </right>
      <top/>
      <bottom style="thin">
        <color rgb="FF808080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dotted">
        <color theme="1" tint="0.34998626667073579"/>
      </bottom>
      <diagonal/>
    </border>
    <border>
      <left style="medium">
        <color theme="1" tint="0.34998626667073579"/>
      </left>
      <right/>
      <top style="dotted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34998626667073579"/>
      </right>
      <top/>
      <bottom style="thin">
        <color theme="1" tint="0.499984740745262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  <border>
      <left/>
      <right style="thin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/>
      <bottom style="dotted">
        <color theme="1" tint="0.499984740745262"/>
      </bottom>
      <diagonal/>
    </border>
    <border>
      <left style="medium">
        <color theme="1" tint="0.34998626667073579"/>
      </left>
      <right/>
      <top style="dotted">
        <color theme="1" tint="0.499984740745262"/>
      </top>
      <bottom style="medium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medium">
        <color theme="1" tint="0.34998626667073579"/>
      </right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dotted">
        <color theme="1" tint="0.499984740745262"/>
      </bottom>
      <diagonal/>
    </border>
    <border>
      <left/>
      <right/>
      <top style="medium">
        <color theme="1" tint="0.34998626667073579"/>
      </top>
      <bottom style="dotted">
        <color theme="1" tint="0.499984740745262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otted">
        <color theme="1" tint="0.499984740745262"/>
      </bottom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dotted">
        <color theme="1" tint="0.34998626667073579"/>
      </top>
      <bottom style="dotted">
        <color theme="1" tint="0.34998626667073579"/>
      </bottom>
      <diagonal/>
    </border>
    <border>
      <left/>
      <right style="medium">
        <color theme="1" tint="0.34998626667073579"/>
      </right>
      <top style="dotted">
        <color theme="1" tint="0.34998626667073579"/>
      </top>
      <bottom style="dotted">
        <color theme="1" tint="0.34998626667073579"/>
      </bottom>
      <diagonal/>
    </border>
  </borders>
  <cellStyleXfs count="1">
    <xf numFmtId="0" fontId="0" fillId="0" borderId="0"/>
  </cellStyleXfs>
  <cellXfs count="177">
    <xf numFmtId="0" fontId="0" fillId="0" borderId="0" xfId="0"/>
    <xf numFmtId="49" fontId="18" fillId="0" borderId="0" xfId="0" applyNumberFormat="1" applyFont="1" applyBorder="1" applyAlignment="1" applyProtection="1"/>
    <xf numFmtId="0" fontId="0" fillId="0" borderId="0" xfId="0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center" vertical="center"/>
    </xf>
    <xf numFmtId="49" fontId="19" fillId="0" borderId="2" xfId="0" applyNumberFormat="1" applyFont="1" applyFill="1" applyBorder="1" applyAlignment="1" applyProtection="1">
      <alignment vertical="center" wrapText="1"/>
    </xf>
    <xf numFmtId="49" fontId="2" fillId="0" borderId="2" xfId="0" applyNumberFormat="1" applyFont="1" applyBorder="1" applyAlignment="1" applyProtection="1"/>
    <xf numFmtId="0" fontId="20" fillId="0" borderId="0" xfId="0" applyFont="1" applyAlignment="1" applyProtection="1">
      <alignment vertical="center"/>
    </xf>
    <xf numFmtId="49" fontId="4" fillId="0" borderId="0" xfId="0" applyNumberFormat="1" applyFont="1" applyBorder="1" applyAlignment="1" applyProtection="1">
      <alignment horizontal="center" vertical="center"/>
    </xf>
    <xf numFmtId="0" fontId="21" fillId="0" borderId="0" xfId="0" applyFont="1" applyAlignment="1" applyProtection="1">
      <alignment vertical="center"/>
    </xf>
    <xf numFmtId="0" fontId="22" fillId="0" borderId="3" xfId="0" applyFont="1" applyBorder="1" applyAlignment="1" applyProtection="1">
      <alignment horizontal="center"/>
    </xf>
    <xf numFmtId="0" fontId="22" fillId="0" borderId="4" xfId="0" applyFont="1" applyBorder="1" applyAlignment="1" applyProtection="1">
      <alignment horizontal="center"/>
    </xf>
    <xf numFmtId="0" fontId="10" fillId="0" borderId="7" xfId="0" applyNumberFormat="1" applyFont="1" applyBorder="1" applyAlignment="1" applyProtection="1">
      <alignment horizontal="center" vertical="center"/>
      <protection locked="0"/>
    </xf>
    <xf numFmtId="49" fontId="1" fillId="0" borderId="8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4" fillId="0" borderId="2" xfId="0" applyNumberFormat="1" applyFont="1" applyBorder="1" applyAlignment="1" applyProtection="1">
      <alignment vertical="center"/>
      <protection locked="0"/>
    </xf>
    <xf numFmtId="49" fontId="4" fillId="0" borderId="2" xfId="0" applyNumberFormat="1" applyFont="1" applyFill="1" applyBorder="1" applyAlignment="1" applyProtection="1">
      <alignment vertical="center" wrapText="1"/>
      <protection locked="0"/>
    </xf>
    <xf numFmtId="49" fontId="19" fillId="0" borderId="0" xfId="0" applyNumberFormat="1" applyFont="1" applyBorder="1" applyAlignment="1" applyProtection="1">
      <alignment horizontal="left" vertical="top"/>
    </xf>
    <xf numFmtId="49" fontId="23" fillId="0" borderId="0" xfId="0" applyNumberFormat="1" applyFont="1" applyBorder="1" applyAlignment="1" applyProtection="1"/>
    <xf numFmtId="49" fontId="3" fillId="0" borderId="10" xfId="0" applyNumberFormat="1" applyFont="1" applyBorder="1" applyAlignment="1" applyProtection="1"/>
    <xf numFmtId="49" fontId="24" fillId="2" borderId="2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Border="1" applyAlignment="1" applyProtection="1"/>
    <xf numFmtId="0" fontId="0" fillId="0" borderId="0" xfId="0" applyBorder="1" applyProtection="1"/>
    <xf numFmtId="49" fontId="4" fillId="0" borderId="11" xfId="0" applyNumberFormat="1" applyFont="1" applyBorder="1" applyAlignment="1" applyProtection="1">
      <alignment horizontal="center" vertical="center"/>
    </xf>
    <xf numFmtId="49" fontId="25" fillId="0" borderId="0" xfId="0" applyNumberFormat="1" applyFont="1" applyBorder="1" applyAlignment="1" applyProtection="1">
      <alignment horizontal="center"/>
      <protection locked="0"/>
    </xf>
    <xf numFmtId="0" fontId="22" fillId="2" borderId="4" xfId="0" applyFont="1" applyFill="1" applyBorder="1" applyAlignment="1" applyProtection="1">
      <alignment horizontal="center"/>
    </xf>
    <xf numFmtId="0" fontId="22" fillId="2" borderId="12" xfId="0" applyFont="1" applyFill="1" applyBorder="1" applyAlignment="1" applyProtection="1">
      <alignment horizontal="center"/>
    </xf>
    <xf numFmtId="0" fontId="10" fillId="2" borderId="7" xfId="0" applyNumberFormat="1" applyFont="1" applyFill="1" applyBorder="1" applyAlignment="1" applyProtection="1">
      <alignment horizontal="center" vertical="center"/>
      <protection locked="0"/>
    </xf>
    <xf numFmtId="0" fontId="10" fillId="2" borderId="13" xfId="0" applyNumberFormat="1" applyFont="1" applyFill="1" applyBorder="1" applyAlignment="1" applyProtection="1">
      <alignment horizontal="center" vertical="center"/>
      <protection locked="0"/>
    </xf>
    <xf numFmtId="49" fontId="9" fillId="2" borderId="6" xfId="0" applyNumberFormat="1" applyFont="1" applyFill="1" applyBorder="1" applyAlignment="1" applyProtection="1">
      <alignment horizontal="center" vertical="center"/>
      <protection locked="0"/>
    </xf>
    <xf numFmtId="49" fontId="9" fillId="2" borderId="14" xfId="0" applyNumberFormat="1" applyFont="1" applyFill="1" applyBorder="1" applyAlignment="1" applyProtection="1">
      <alignment horizontal="center" vertical="center"/>
      <protection locked="0"/>
    </xf>
    <xf numFmtId="49" fontId="1" fillId="2" borderId="9" xfId="0" applyNumberFormat="1" applyFont="1" applyFill="1" applyBorder="1" applyAlignment="1" applyProtection="1">
      <alignment horizontal="center" vertical="center"/>
      <protection locked="0"/>
    </xf>
    <xf numFmtId="49" fontId="1" fillId="2" borderId="15" xfId="0" applyNumberFormat="1" applyFont="1" applyFill="1" applyBorder="1" applyAlignment="1" applyProtection="1">
      <alignment horizontal="center" vertical="center"/>
      <protection locked="0"/>
    </xf>
    <xf numFmtId="0" fontId="26" fillId="0" borderId="16" xfId="0" applyFont="1" applyBorder="1" applyAlignment="1" applyProtection="1">
      <alignment horizontal="center" vertical="center" wrapText="1"/>
    </xf>
    <xf numFmtId="0" fontId="26" fillId="0" borderId="17" xfId="0" applyFont="1" applyBorder="1" applyAlignment="1" applyProtection="1">
      <alignment horizontal="center" vertical="center" wrapText="1"/>
    </xf>
    <xf numFmtId="3" fontId="19" fillId="0" borderId="18" xfId="0" applyNumberFormat="1" applyFont="1" applyFill="1" applyBorder="1" applyAlignment="1" applyProtection="1">
      <alignment horizontal="center" vertical="center" wrapText="1"/>
    </xf>
    <xf numFmtId="3" fontId="19" fillId="0" borderId="19" xfId="0" applyNumberFormat="1" applyFont="1" applyFill="1" applyBorder="1" applyAlignment="1" applyProtection="1">
      <alignment horizontal="center" vertical="center" wrapText="1"/>
    </xf>
    <xf numFmtId="0" fontId="26" fillId="0" borderId="20" xfId="0" applyFont="1" applyBorder="1" applyAlignment="1" applyProtection="1">
      <alignment horizontal="center" vertical="center" wrapText="1"/>
    </xf>
    <xf numFmtId="3" fontId="19" fillId="0" borderId="21" xfId="0" applyNumberFormat="1" applyFont="1" applyFill="1" applyBorder="1" applyAlignment="1" applyProtection="1">
      <alignment horizontal="center" vertical="center" wrapText="1"/>
    </xf>
    <xf numFmtId="49" fontId="24" fillId="2" borderId="22" xfId="0" applyNumberFormat="1" applyFont="1" applyFill="1" applyBorder="1" applyAlignment="1" applyProtection="1"/>
    <xf numFmtId="49" fontId="20" fillId="0" borderId="23" xfId="0" applyNumberFormat="1" applyFont="1" applyBorder="1" applyAlignment="1" applyProtection="1">
      <alignment vertical="center"/>
    </xf>
    <xf numFmtId="0" fontId="9" fillId="0" borderId="24" xfId="0" applyNumberFormat="1" applyFont="1" applyBorder="1" applyAlignment="1" applyProtection="1">
      <alignment horizontal="center" vertical="center"/>
    </xf>
    <xf numFmtId="49" fontId="10" fillId="0" borderId="26" xfId="0" applyNumberFormat="1" applyFont="1" applyBorder="1" applyAlignment="1" applyProtection="1">
      <protection locked="0"/>
    </xf>
    <xf numFmtId="49" fontId="10" fillId="0" borderId="27" xfId="0" applyNumberFormat="1" applyFont="1" applyBorder="1" applyAlignment="1" applyProtection="1">
      <protection locked="0"/>
    </xf>
    <xf numFmtId="49" fontId="25" fillId="0" borderId="0" xfId="0" applyNumberFormat="1" applyFont="1" applyBorder="1" applyAlignment="1" applyProtection="1">
      <alignment horizontal="center"/>
    </xf>
    <xf numFmtId="49" fontId="27" fillId="0" borderId="0" xfId="0" applyNumberFormat="1" applyFont="1" applyBorder="1" applyAlignment="1" applyProtection="1"/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49" fontId="9" fillId="0" borderId="29" xfId="0" applyNumberFormat="1" applyFont="1" applyBorder="1" applyAlignment="1" applyProtection="1">
      <alignment horizontal="center" vertical="center"/>
      <protection locked="0"/>
    </xf>
    <xf numFmtId="1" fontId="9" fillId="0" borderId="29" xfId="0" applyNumberFormat="1" applyFont="1" applyBorder="1" applyAlignment="1" applyProtection="1">
      <alignment horizontal="center" vertical="center"/>
      <protection locked="0"/>
    </xf>
    <xf numFmtId="49" fontId="0" fillId="0" borderId="29" xfId="0" applyNumberFormat="1" applyBorder="1" applyAlignment="1" applyProtection="1">
      <alignment horizontal="center" vertical="center"/>
      <protection locked="0"/>
    </xf>
    <xf numFmtId="49" fontId="9" fillId="0" borderId="29" xfId="0" applyNumberFormat="1" applyFont="1" applyBorder="1" applyAlignment="1" applyProtection="1">
      <alignment horizontal="center" vertical="center" shrinkToFit="1"/>
      <protection locked="0"/>
    </xf>
    <xf numFmtId="0" fontId="0" fillId="0" borderId="0" xfId="0" applyBorder="1" applyAlignment="1" applyProtection="1">
      <alignment shrinkToFit="1"/>
    </xf>
    <xf numFmtId="0" fontId="9" fillId="0" borderId="29" xfId="0" applyFont="1" applyBorder="1" applyAlignment="1" applyProtection="1">
      <alignment horizontal="center" vertical="center" shrinkToFit="1"/>
      <protection locked="0"/>
    </xf>
    <xf numFmtId="0" fontId="24" fillId="0" borderId="30" xfId="0" applyFont="1" applyBorder="1" applyAlignment="1" applyProtection="1">
      <alignment horizontal="left" vertical="center" shrinkToFit="1"/>
    </xf>
    <xf numFmtId="49" fontId="19" fillId="0" borderId="31" xfId="0" applyNumberFormat="1" applyFont="1" applyFill="1" applyBorder="1" applyAlignment="1" applyProtection="1">
      <alignment horizontal="left" vertical="center" shrinkToFit="1"/>
    </xf>
    <xf numFmtId="49" fontId="4" fillId="0" borderId="0" xfId="0" applyNumberFormat="1" applyFont="1" applyBorder="1" applyAlignment="1" applyProtection="1">
      <alignment horizontal="center" vertical="center" shrinkToFit="1"/>
    </xf>
    <xf numFmtId="0" fontId="0" fillId="0" borderId="0" xfId="0" applyAlignment="1" applyProtection="1">
      <alignment shrinkToFit="1"/>
    </xf>
    <xf numFmtId="20" fontId="0" fillId="0" borderId="0" xfId="0" applyNumberFormat="1"/>
    <xf numFmtId="20" fontId="1" fillId="2" borderId="32" xfId="0" applyNumberFormat="1" applyFont="1" applyFill="1" applyBorder="1" applyAlignment="1" applyProtection="1">
      <alignment horizontal="center" vertical="center"/>
      <protection locked="0"/>
    </xf>
    <xf numFmtId="20" fontId="0" fillId="0" borderId="0" xfId="0" applyNumberFormat="1" applyAlignment="1">
      <alignment horizontal="center"/>
    </xf>
    <xf numFmtId="0" fontId="9" fillId="0" borderId="33" xfId="0" applyNumberFormat="1" applyFont="1" applyFill="1" applyBorder="1" applyAlignment="1" applyProtection="1">
      <alignment horizontal="center" vertical="center" wrapText="1"/>
    </xf>
    <xf numFmtId="49" fontId="4" fillId="0" borderId="34" xfId="0" applyNumberFormat="1" applyFont="1" applyFill="1" applyBorder="1" applyAlignment="1" applyProtection="1">
      <alignment vertical="center" wrapText="1"/>
      <protection locked="0"/>
    </xf>
    <xf numFmtId="49" fontId="19" fillId="0" borderId="35" xfId="0" applyNumberFormat="1" applyFont="1" applyFill="1" applyBorder="1" applyAlignment="1" applyProtection="1">
      <alignment vertical="center" wrapText="1"/>
    </xf>
    <xf numFmtId="0" fontId="9" fillId="0" borderId="29" xfId="0" applyNumberFormat="1" applyFont="1" applyBorder="1" applyAlignment="1" applyProtection="1">
      <alignment horizontal="center" vertical="center"/>
      <protection locked="0"/>
    </xf>
    <xf numFmtId="0" fontId="1" fillId="0" borderId="0" xfId="0" applyFont="1"/>
    <xf numFmtId="0" fontId="9" fillId="0" borderId="33" xfId="0" applyFont="1" applyBorder="1" applyAlignment="1">
      <alignment horizontal="center" vertical="center" wrapText="1"/>
    </xf>
    <xf numFmtId="2" fontId="32" fillId="0" borderId="5" xfId="0" applyNumberFormat="1" applyFont="1" applyBorder="1" applyAlignment="1" applyProtection="1">
      <alignment horizontal="center" vertical="center"/>
      <protection locked="0"/>
    </xf>
    <xf numFmtId="2" fontId="32" fillId="0" borderId="6" xfId="0" applyNumberFormat="1" applyFont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>
      <alignment horizontal="center" vertical="center"/>
    </xf>
    <xf numFmtId="0" fontId="33" fillId="0" borderId="10" xfId="0" applyFont="1" applyBorder="1" applyAlignment="1" applyProtection="1">
      <alignment horizontal="right"/>
    </xf>
    <xf numFmtId="49" fontId="31" fillId="0" borderId="1" xfId="0" applyNumberFormat="1" applyFont="1" applyBorder="1" applyAlignment="1" applyProtection="1">
      <alignment horizontal="center"/>
    </xf>
    <xf numFmtId="14" fontId="31" fillId="0" borderId="1" xfId="0" applyNumberFormat="1" applyFont="1" applyBorder="1" applyAlignment="1" applyProtection="1">
      <alignment horizontal="center"/>
      <protection locked="0"/>
    </xf>
    <xf numFmtId="49" fontId="24" fillId="0" borderId="59" xfId="0" applyNumberFormat="1" applyFont="1" applyFill="1" applyBorder="1" applyAlignment="1" applyProtection="1">
      <alignment horizontal="center" vertical="center"/>
    </xf>
    <xf numFmtId="49" fontId="24" fillId="0" borderId="60" xfId="0" applyNumberFormat="1" applyFont="1" applyFill="1" applyBorder="1" applyAlignment="1" applyProtection="1">
      <alignment horizontal="center" vertical="center"/>
    </xf>
    <xf numFmtId="49" fontId="24" fillId="0" borderId="68" xfId="0" applyNumberFormat="1" applyFont="1" applyFill="1" applyBorder="1" applyAlignment="1" applyProtection="1">
      <alignment horizontal="center" vertical="center"/>
    </xf>
    <xf numFmtId="0" fontId="31" fillId="0" borderId="1" xfId="0" applyNumberFormat="1" applyFont="1" applyBorder="1" applyAlignment="1" applyProtection="1">
      <alignment horizontal="center"/>
      <protection locked="0"/>
    </xf>
    <xf numFmtId="49" fontId="31" fillId="0" borderId="1" xfId="0" applyNumberFormat="1" applyFont="1" applyBorder="1" applyAlignment="1" applyProtection="1">
      <alignment horizontal="center"/>
      <protection locked="0"/>
    </xf>
    <xf numFmtId="49" fontId="22" fillId="0" borderId="48" xfId="0" applyNumberFormat="1" applyFont="1" applyBorder="1" applyAlignment="1" applyProtection="1">
      <alignment horizontal="left" vertical="center" wrapText="1"/>
    </xf>
    <xf numFmtId="49" fontId="22" fillId="0" borderId="49" xfId="0" applyNumberFormat="1" applyFont="1" applyBorder="1" applyAlignment="1" applyProtection="1">
      <alignment horizontal="left" vertical="center" wrapText="1"/>
    </xf>
    <xf numFmtId="49" fontId="22" fillId="0" borderId="50" xfId="0" applyNumberFormat="1" applyFont="1" applyBorder="1" applyAlignment="1" applyProtection="1">
      <alignment horizontal="left" vertical="center" wrapText="1"/>
    </xf>
    <xf numFmtId="49" fontId="24" fillId="2" borderId="22" xfId="0" applyNumberFormat="1" applyFont="1" applyFill="1" applyBorder="1" applyAlignment="1" applyProtection="1">
      <alignment horizontal="center" vertical="top" wrapText="1"/>
    </xf>
    <xf numFmtId="49" fontId="24" fillId="2" borderId="39" xfId="0" applyNumberFormat="1" applyFont="1" applyFill="1" applyBorder="1" applyAlignment="1" applyProtection="1">
      <alignment horizontal="center" vertical="top"/>
    </xf>
    <xf numFmtId="49" fontId="24" fillId="2" borderId="40" xfId="0" applyNumberFormat="1" applyFont="1" applyFill="1" applyBorder="1" applyAlignment="1" applyProtection="1">
      <alignment horizontal="center" vertical="top"/>
    </xf>
    <xf numFmtId="49" fontId="30" fillId="0" borderId="22" xfId="0" applyNumberFormat="1" applyFont="1" applyFill="1" applyBorder="1" applyAlignment="1" applyProtection="1">
      <alignment horizontal="center" vertical="center" wrapText="1" shrinkToFit="1"/>
    </xf>
    <xf numFmtId="49" fontId="30" fillId="0" borderId="39" xfId="0" applyNumberFormat="1" applyFont="1" applyFill="1" applyBorder="1" applyAlignment="1" applyProtection="1">
      <alignment horizontal="center" vertical="center" shrinkToFit="1"/>
    </xf>
    <xf numFmtId="49" fontId="30" fillId="0" borderId="40" xfId="0" applyNumberFormat="1" applyFont="1" applyFill="1" applyBorder="1" applyAlignment="1" applyProtection="1">
      <alignment horizontal="center" vertical="center" shrinkToFit="1"/>
    </xf>
    <xf numFmtId="0" fontId="21" fillId="0" borderId="55" xfId="0" applyFont="1" applyBorder="1" applyAlignment="1" applyProtection="1">
      <alignment horizontal="center" vertical="center"/>
    </xf>
    <xf numFmtId="0" fontId="21" fillId="0" borderId="56" xfId="0" applyFont="1" applyBorder="1" applyAlignment="1" applyProtection="1">
      <alignment horizontal="center" vertical="center"/>
    </xf>
    <xf numFmtId="0" fontId="21" fillId="0" borderId="57" xfId="0" applyFont="1" applyBorder="1" applyAlignment="1" applyProtection="1">
      <alignment horizontal="center" vertical="center"/>
    </xf>
    <xf numFmtId="49" fontId="24" fillId="2" borderId="41" xfId="0" applyNumberFormat="1" applyFont="1" applyFill="1" applyBorder="1" applyAlignment="1" applyProtection="1">
      <alignment horizontal="center" vertical="center"/>
    </xf>
    <xf numFmtId="49" fontId="24" fillId="2" borderId="42" xfId="0" applyNumberFormat="1" applyFont="1" applyFill="1" applyBorder="1" applyAlignment="1" applyProtection="1">
      <alignment horizontal="center" vertical="center"/>
    </xf>
    <xf numFmtId="49" fontId="24" fillId="2" borderId="58" xfId="0" applyNumberFormat="1" applyFont="1" applyFill="1" applyBorder="1" applyAlignment="1" applyProtection="1">
      <alignment horizontal="center" vertical="center"/>
    </xf>
    <xf numFmtId="49" fontId="24" fillId="2" borderId="59" xfId="0" applyNumberFormat="1" applyFont="1" applyFill="1" applyBorder="1" applyAlignment="1" applyProtection="1">
      <alignment horizontal="center" vertical="center"/>
    </xf>
    <xf numFmtId="49" fontId="24" fillId="2" borderId="60" xfId="0" applyNumberFormat="1" applyFont="1" applyFill="1" applyBorder="1" applyAlignment="1" applyProtection="1">
      <alignment horizontal="center" vertical="center"/>
    </xf>
    <xf numFmtId="49" fontId="24" fillId="2" borderId="61" xfId="0" applyNumberFormat="1" applyFont="1" applyFill="1" applyBorder="1" applyAlignment="1" applyProtection="1">
      <alignment horizontal="center" vertical="center"/>
    </xf>
    <xf numFmtId="49" fontId="19" fillId="0" borderId="62" xfId="0" applyNumberFormat="1" applyFont="1" applyBorder="1" applyAlignment="1" applyProtection="1">
      <alignment horizontal="center" vertical="center"/>
    </xf>
    <xf numFmtId="49" fontId="19" fillId="0" borderId="63" xfId="0" applyNumberFormat="1" applyFont="1" applyBorder="1" applyAlignment="1" applyProtection="1">
      <alignment horizontal="center" vertical="center"/>
    </xf>
    <xf numFmtId="49" fontId="19" fillId="0" borderId="64" xfId="0" applyNumberFormat="1" applyFont="1" applyBorder="1" applyAlignment="1" applyProtection="1">
      <alignment horizontal="center" vertical="center"/>
    </xf>
    <xf numFmtId="49" fontId="1" fillId="0" borderId="5" xfId="0" applyNumberFormat="1" applyFont="1" applyBorder="1" applyAlignment="1" applyProtection="1">
      <alignment horizontal="left" vertical="center"/>
      <protection locked="0"/>
    </xf>
    <xf numFmtId="49" fontId="1" fillId="0" borderId="6" xfId="0" applyNumberFormat="1" applyFont="1" applyBorder="1" applyAlignment="1" applyProtection="1">
      <alignment horizontal="left" vertical="center"/>
      <protection locked="0"/>
    </xf>
    <xf numFmtId="49" fontId="1" fillId="0" borderId="36" xfId="0" applyNumberFormat="1" applyFont="1" applyBorder="1" applyAlignment="1" applyProtection="1">
      <alignment horizontal="left" vertical="center"/>
      <protection locked="0"/>
    </xf>
    <xf numFmtId="49" fontId="19" fillId="0" borderId="54" xfId="0" applyNumberFormat="1" applyFont="1" applyBorder="1" applyAlignment="1" applyProtection="1">
      <alignment horizontal="center" vertical="center"/>
    </xf>
    <xf numFmtId="49" fontId="19" fillId="0" borderId="52" xfId="0" applyNumberFormat="1" applyFont="1" applyBorder="1" applyAlignment="1" applyProtection="1">
      <alignment horizontal="center" vertical="center"/>
    </xf>
    <xf numFmtId="49" fontId="19" fillId="0" borderId="23" xfId="0" applyNumberFormat="1" applyFont="1" applyBorder="1" applyAlignment="1" applyProtection="1">
      <alignment horizontal="center" vertical="center"/>
    </xf>
    <xf numFmtId="49" fontId="19" fillId="0" borderId="34" xfId="0" applyNumberFormat="1" applyFont="1" applyBorder="1" applyAlignment="1" applyProtection="1">
      <alignment horizontal="left" vertical="top" wrapText="1"/>
    </xf>
    <xf numFmtId="49" fontId="19" fillId="0" borderId="37" xfId="0" applyNumberFormat="1" applyFont="1" applyBorder="1" applyAlignment="1" applyProtection="1">
      <alignment horizontal="left" vertical="top"/>
    </xf>
    <xf numFmtId="49" fontId="19" fillId="0" borderId="44" xfId="0" applyNumberFormat="1" applyFont="1" applyBorder="1" applyAlignment="1" applyProtection="1">
      <alignment horizontal="left" vertical="top"/>
    </xf>
    <xf numFmtId="49" fontId="19" fillId="0" borderId="0" xfId="0" applyNumberFormat="1" applyFont="1" applyBorder="1" applyAlignment="1" applyProtection="1">
      <alignment horizontal="left" vertical="top"/>
    </xf>
    <xf numFmtId="49" fontId="19" fillId="0" borderId="35" xfId="0" applyNumberFormat="1" applyFont="1" applyBorder="1" applyAlignment="1" applyProtection="1">
      <alignment horizontal="left" vertical="top"/>
    </xf>
    <xf numFmtId="49" fontId="19" fillId="0" borderId="10" xfId="0" applyNumberFormat="1" applyFont="1" applyBorder="1" applyAlignment="1" applyProtection="1">
      <alignment horizontal="left" vertical="top"/>
    </xf>
    <xf numFmtId="49" fontId="24" fillId="0" borderId="22" xfId="0" applyNumberFormat="1" applyFont="1" applyFill="1" applyBorder="1" applyAlignment="1" applyProtection="1">
      <alignment horizontal="center" vertical="center" wrapText="1"/>
    </xf>
    <xf numFmtId="49" fontId="24" fillId="0" borderId="39" xfId="0" applyNumberFormat="1" applyFont="1" applyFill="1" applyBorder="1" applyAlignment="1" applyProtection="1">
      <alignment horizontal="center" vertical="center"/>
    </xf>
    <xf numFmtId="49" fontId="24" fillId="0" borderId="40" xfId="0" applyNumberFormat="1" applyFont="1" applyFill="1" applyBorder="1" applyAlignment="1" applyProtection="1">
      <alignment horizontal="center" vertical="center"/>
    </xf>
    <xf numFmtId="49" fontId="30" fillId="3" borderId="65" xfId="0" applyNumberFormat="1" applyFont="1" applyFill="1" applyBorder="1" applyAlignment="1" applyProtection="1">
      <alignment horizontal="center" vertical="center" wrapText="1"/>
    </xf>
    <xf numFmtId="49" fontId="30" fillId="3" borderId="38" xfId="0" applyNumberFormat="1" applyFont="1" applyFill="1" applyBorder="1" applyAlignment="1" applyProtection="1">
      <alignment horizontal="center" vertical="center" wrapText="1"/>
    </xf>
    <xf numFmtId="49" fontId="21" fillId="3" borderId="66" xfId="0" applyNumberFormat="1" applyFont="1" applyFill="1" applyBorder="1" applyAlignment="1" applyProtection="1">
      <alignment horizontal="center" wrapText="1"/>
    </xf>
    <xf numFmtId="49" fontId="21" fillId="3" borderId="11" xfId="0" applyNumberFormat="1" applyFont="1" applyFill="1" applyBorder="1" applyAlignment="1" applyProtection="1">
      <alignment horizontal="center" wrapText="1"/>
    </xf>
    <xf numFmtId="49" fontId="19" fillId="0" borderId="47" xfId="0" applyNumberFormat="1" applyFont="1" applyBorder="1" applyAlignment="1" applyProtection="1">
      <alignment horizontal="right" vertical="center"/>
    </xf>
    <xf numFmtId="49" fontId="19" fillId="0" borderId="24" xfId="0" applyNumberFormat="1" applyFont="1" applyBorder="1" applyAlignment="1" applyProtection="1">
      <alignment horizontal="right" vertical="center"/>
    </xf>
    <xf numFmtId="49" fontId="34" fillId="0" borderId="16" xfId="0" applyNumberFormat="1" applyFont="1" applyBorder="1" applyAlignment="1" applyProtection="1">
      <alignment horizontal="center" vertical="center"/>
      <protection locked="0"/>
    </xf>
    <xf numFmtId="49" fontId="34" fillId="0" borderId="17" xfId="0" applyNumberFormat="1" applyFont="1" applyBorder="1" applyAlignment="1" applyProtection="1">
      <alignment horizontal="center" vertical="center"/>
      <protection locked="0"/>
    </xf>
    <xf numFmtId="49" fontId="10" fillId="0" borderId="34" xfId="0" applyNumberFormat="1" applyFont="1" applyBorder="1" applyAlignment="1" applyProtection="1">
      <alignment horizontal="left"/>
      <protection locked="0"/>
    </xf>
    <xf numFmtId="49" fontId="10" fillId="0" borderId="37" xfId="0" applyNumberFormat="1" applyFont="1" applyBorder="1" applyAlignment="1" applyProtection="1">
      <alignment horizontal="left"/>
      <protection locked="0"/>
    </xf>
    <xf numFmtId="49" fontId="10" fillId="0" borderId="53" xfId="0" applyNumberFormat="1" applyFont="1" applyBorder="1" applyAlignment="1" applyProtection="1">
      <alignment horizontal="left"/>
      <protection locked="0"/>
    </xf>
    <xf numFmtId="49" fontId="10" fillId="0" borderId="51" xfId="0" applyNumberFormat="1" applyFont="1" applyBorder="1" applyAlignment="1" applyProtection="1">
      <alignment horizontal="left"/>
      <protection locked="0"/>
    </xf>
    <xf numFmtId="14" fontId="20" fillId="0" borderId="54" xfId="0" applyNumberFormat="1" applyFont="1" applyBorder="1" applyAlignment="1" applyProtection="1">
      <alignment horizontal="left" vertical="center"/>
    </xf>
    <xf numFmtId="14" fontId="20" fillId="0" borderId="52" xfId="0" applyNumberFormat="1" applyFont="1" applyBorder="1" applyAlignment="1" applyProtection="1">
      <alignment horizontal="left" vertical="center"/>
    </xf>
    <xf numFmtId="49" fontId="10" fillId="0" borderId="37" xfId="0" applyNumberFormat="1" applyFont="1" applyBorder="1" applyAlignment="1" applyProtection="1">
      <alignment horizontal="center"/>
      <protection locked="0"/>
    </xf>
    <xf numFmtId="49" fontId="10" fillId="0" borderId="26" xfId="0" applyNumberFormat="1" applyFont="1" applyBorder="1" applyAlignment="1" applyProtection="1">
      <alignment horizontal="center"/>
      <protection locked="0"/>
    </xf>
    <xf numFmtId="49" fontId="10" fillId="0" borderId="51" xfId="0" applyNumberFormat="1" applyFont="1" applyBorder="1" applyAlignment="1" applyProtection="1">
      <alignment horizontal="center"/>
      <protection locked="0"/>
    </xf>
    <xf numFmtId="49" fontId="10" fillId="0" borderId="27" xfId="0" applyNumberFormat="1" applyFont="1" applyBorder="1" applyAlignment="1" applyProtection="1">
      <alignment horizontal="center"/>
      <protection locked="0"/>
    </xf>
    <xf numFmtId="49" fontId="20" fillId="0" borderId="52" xfId="0" applyNumberFormat="1" applyFont="1" applyBorder="1" applyAlignment="1" applyProtection="1">
      <alignment horizontal="center" vertical="center"/>
    </xf>
    <xf numFmtId="49" fontId="20" fillId="0" borderId="23" xfId="0" applyNumberFormat="1" applyFont="1" applyBorder="1" applyAlignment="1" applyProtection="1">
      <alignment horizontal="center" vertical="center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49" fontId="4" fillId="0" borderId="69" xfId="0" applyNumberFormat="1" applyFont="1" applyBorder="1" applyAlignment="1" applyProtection="1">
      <alignment horizontal="center" vertical="center"/>
      <protection locked="0"/>
    </xf>
    <xf numFmtId="49" fontId="4" fillId="0" borderId="70" xfId="0" applyNumberFormat="1" applyFont="1" applyBorder="1" applyAlignment="1" applyProtection="1">
      <alignment horizontal="center" vertical="center"/>
      <protection locked="0"/>
    </xf>
    <xf numFmtId="49" fontId="4" fillId="0" borderId="18" xfId="0" applyNumberFormat="1" applyFont="1" applyBorder="1" applyAlignment="1" applyProtection="1">
      <alignment horizontal="center" vertical="center"/>
      <protection locked="0"/>
    </xf>
    <xf numFmtId="49" fontId="4" fillId="0" borderId="19" xfId="0" applyNumberFormat="1" applyFont="1" applyBorder="1" applyAlignment="1" applyProtection="1">
      <alignment horizontal="center" vertical="center"/>
      <protection locked="0"/>
    </xf>
    <xf numFmtId="49" fontId="28" fillId="0" borderId="22" xfId="0" applyNumberFormat="1" applyFont="1" applyFill="1" applyBorder="1" applyAlignment="1" applyProtection="1">
      <alignment horizontal="center" vertical="center" wrapText="1"/>
    </xf>
    <xf numFmtId="49" fontId="28" fillId="0" borderId="39" xfId="0" applyNumberFormat="1" applyFont="1" applyFill="1" applyBorder="1" applyAlignment="1" applyProtection="1">
      <alignment horizontal="center" vertical="center" wrapText="1"/>
    </xf>
    <xf numFmtId="49" fontId="28" fillId="0" borderId="40" xfId="0" applyNumberFormat="1" applyFont="1" applyFill="1" applyBorder="1" applyAlignment="1" applyProtection="1">
      <alignment horizontal="center" vertical="center" wrapText="1"/>
    </xf>
    <xf numFmtId="49" fontId="29" fillId="2" borderId="39" xfId="0" applyNumberFormat="1" applyFont="1" applyFill="1" applyBorder="1" applyAlignment="1" applyProtection="1">
      <alignment horizontal="center" vertical="center" wrapText="1"/>
    </xf>
    <xf numFmtId="49" fontId="29" fillId="2" borderId="40" xfId="0" applyNumberFormat="1" applyFont="1" applyFill="1" applyBorder="1" applyAlignment="1" applyProtection="1">
      <alignment horizontal="center" vertical="center"/>
    </xf>
    <xf numFmtId="49" fontId="24" fillId="0" borderId="34" xfId="0" applyNumberFormat="1" applyFont="1" applyBorder="1" applyAlignment="1" applyProtection="1">
      <alignment horizontal="left" wrapText="1"/>
    </xf>
    <xf numFmtId="49" fontId="24" fillId="0" borderId="37" xfId="0" applyNumberFormat="1" applyFont="1" applyBorder="1" applyAlignment="1" applyProtection="1">
      <alignment horizontal="left"/>
    </xf>
    <xf numFmtId="49" fontId="24" fillId="0" borderId="44" xfId="0" applyNumberFormat="1" applyFont="1" applyBorder="1" applyAlignment="1" applyProtection="1">
      <alignment horizontal="left"/>
    </xf>
    <xf numFmtId="49" fontId="24" fillId="0" borderId="0" xfId="0" applyNumberFormat="1" applyFont="1" applyBorder="1" applyAlignment="1" applyProtection="1">
      <alignment horizontal="left"/>
    </xf>
    <xf numFmtId="49" fontId="24" fillId="0" borderId="35" xfId="0" applyNumberFormat="1" applyFont="1" applyBorder="1" applyAlignment="1" applyProtection="1">
      <alignment horizontal="left"/>
    </xf>
    <xf numFmtId="49" fontId="24" fillId="0" borderId="10" xfId="0" applyNumberFormat="1" applyFont="1" applyBorder="1" applyAlignment="1" applyProtection="1">
      <alignment horizontal="left"/>
    </xf>
    <xf numFmtId="49" fontId="12" fillId="0" borderId="34" xfId="0" applyNumberFormat="1" applyFont="1" applyFill="1" applyBorder="1" applyAlignment="1" applyProtection="1">
      <alignment horizontal="center" vertical="center"/>
    </xf>
    <xf numFmtId="49" fontId="12" fillId="0" borderId="37" xfId="0" applyNumberFormat="1" applyFont="1" applyFill="1" applyBorder="1" applyAlignment="1" applyProtection="1">
      <alignment horizontal="center" vertical="center"/>
    </xf>
    <xf numFmtId="49" fontId="12" fillId="0" borderId="26" xfId="0" applyNumberFormat="1" applyFont="1" applyFill="1" applyBorder="1" applyAlignment="1" applyProtection="1">
      <alignment horizontal="center" vertical="center"/>
    </xf>
    <xf numFmtId="49" fontId="12" fillId="0" borderId="35" xfId="0" applyNumberFormat="1" applyFont="1" applyFill="1" applyBorder="1" applyAlignment="1" applyProtection="1">
      <alignment horizontal="center" vertical="center"/>
    </xf>
    <xf numFmtId="49" fontId="12" fillId="0" borderId="10" xfId="0" applyNumberFormat="1" applyFont="1" applyFill="1" applyBorder="1" applyAlignment="1" applyProtection="1">
      <alignment horizontal="center" vertical="center"/>
    </xf>
    <xf numFmtId="49" fontId="12" fillId="0" borderId="38" xfId="0" applyNumberFormat="1" applyFont="1" applyFill="1" applyBorder="1" applyAlignment="1" applyProtection="1">
      <alignment horizontal="center" vertical="center"/>
    </xf>
    <xf numFmtId="49" fontId="12" fillId="2" borderId="34" xfId="0" applyNumberFormat="1" applyFont="1" applyFill="1" applyBorder="1" applyAlignment="1" applyProtection="1">
      <alignment horizontal="center" vertical="center"/>
    </xf>
    <xf numFmtId="49" fontId="12" fillId="2" borderId="37" xfId="0" applyNumberFormat="1" applyFont="1" applyFill="1" applyBorder="1" applyAlignment="1" applyProtection="1">
      <alignment horizontal="center" vertical="center"/>
    </xf>
    <xf numFmtId="49" fontId="12" fillId="2" borderId="35" xfId="0" applyNumberFormat="1" applyFont="1" applyFill="1" applyBorder="1" applyAlignment="1" applyProtection="1">
      <alignment horizontal="center" vertical="center"/>
    </xf>
    <xf numFmtId="49" fontId="12" fillId="2" borderId="10" xfId="0" applyNumberFormat="1" applyFont="1" applyFill="1" applyBorder="1" applyAlignment="1" applyProtection="1">
      <alignment horizontal="center" vertical="center"/>
    </xf>
    <xf numFmtId="49" fontId="12" fillId="0" borderId="37" xfId="0" applyNumberFormat="1" applyFont="1" applyBorder="1" applyAlignment="1" applyProtection="1">
      <alignment horizontal="center" vertical="center"/>
    </xf>
    <xf numFmtId="49" fontId="12" fillId="0" borderId="45" xfId="0" applyNumberFormat="1" applyFont="1" applyBorder="1" applyAlignment="1" applyProtection="1">
      <alignment horizontal="center" vertical="center"/>
    </xf>
    <xf numFmtId="49" fontId="12" fillId="0" borderId="10" xfId="0" applyNumberFormat="1" applyFont="1" applyBorder="1" applyAlignment="1" applyProtection="1">
      <alignment horizontal="center" vertical="center"/>
    </xf>
    <xf numFmtId="49" fontId="12" fillId="0" borderId="46" xfId="0" applyNumberFormat="1" applyFont="1" applyBorder="1" applyAlignment="1" applyProtection="1">
      <alignment horizontal="center" vertical="center"/>
    </xf>
    <xf numFmtId="49" fontId="24" fillId="0" borderId="16" xfId="0" applyNumberFormat="1" applyFont="1" applyBorder="1" applyAlignment="1" applyProtection="1">
      <alignment horizontal="center"/>
    </xf>
    <xf numFmtId="49" fontId="24" fillId="0" borderId="17" xfId="0" applyNumberFormat="1" applyFont="1" applyBorder="1" applyAlignment="1" applyProtection="1">
      <alignment horizontal="center"/>
    </xf>
    <xf numFmtId="49" fontId="28" fillId="0" borderId="22" xfId="0" applyNumberFormat="1" applyFont="1" applyBorder="1" applyAlignment="1" applyProtection="1">
      <alignment horizontal="left" vertical="center" wrapText="1"/>
    </xf>
    <xf numFmtId="49" fontId="28" fillId="0" borderId="39" xfId="0" applyNumberFormat="1" applyFont="1" applyBorder="1" applyAlignment="1" applyProtection="1">
      <alignment horizontal="left" vertical="center" wrapText="1"/>
    </xf>
    <xf numFmtId="49" fontId="28" fillId="0" borderId="40" xfId="0" applyNumberFormat="1" applyFont="1" applyBorder="1" applyAlignment="1" applyProtection="1">
      <alignment horizontal="left" vertical="center" wrapText="1"/>
    </xf>
    <xf numFmtId="49" fontId="21" fillId="3" borderId="67" xfId="0" applyNumberFormat="1" applyFont="1" applyFill="1" applyBorder="1" applyAlignment="1" applyProtection="1">
      <alignment horizontal="center" vertical="top" wrapText="1"/>
    </xf>
    <xf numFmtId="49" fontId="21" fillId="3" borderId="26" xfId="0" applyNumberFormat="1" applyFont="1" applyFill="1" applyBorder="1" applyAlignment="1" applyProtection="1">
      <alignment horizontal="center" vertical="top" wrapText="1"/>
    </xf>
    <xf numFmtId="49" fontId="12" fillId="2" borderId="26" xfId="0" applyNumberFormat="1" applyFont="1" applyFill="1" applyBorder="1" applyAlignment="1" applyProtection="1">
      <alignment horizontal="center" vertical="center"/>
    </xf>
    <xf numFmtId="49" fontId="12" fillId="2" borderId="38" xfId="0" applyNumberFormat="1" applyFont="1" applyFill="1" applyBorder="1" applyAlignment="1" applyProtection="1">
      <alignment horizontal="center" vertical="center"/>
    </xf>
    <xf numFmtId="49" fontId="24" fillId="0" borderId="39" xfId="0" applyNumberFormat="1" applyFont="1" applyFill="1" applyBorder="1" applyAlignment="1" applyProtection="1">
      <alignment horizontal="center" vertical="center" wrapText="1"/>
    </xf>
    <xf numFmtId="49" fontId="24" fillId="0" borderId="40" xfId="0" applyNumberFormat="1" applyFont="1" applyFill="1" applyBorder="1" applyAlignment="1" applyProtection="1">
      <alignment horizontal="center" vertical="center" wrapText="1"/>
    </xf>
    <xf numFmtId="49" fontId="24" fillId="0" borderId="41" xfId="0" applyNumberFormat="1" applyFont="1" applyBorder="1" applyAlignment="1" applyProtection="1">
      <alignment horizontal="center" vertical="center"/>
    </xf>
    <xf numFmtId="49" fontId="24" fillId="0" borderId="42" xfId="0" applyNumberFormat="1" applyFont="1" applyBorder="1" applyAlignment="1" applyProtection="1">
      <alignment horizontal="center" vertical="center"/>
    </xf>
    <xf numFmtId="49" fontId="24" fillId="0" borderId="43" xfId="0" applyNumberFormat="1" applyFont="1" applyBorder="1" applyAlignment="1" applyProtection="1">
      <alignment horizontal="center" vertical="center"/>
    </xf>
  </cellXfs>
  <cellStyles count="1">
    <cellStyle name="Standard" xfId="0" builtinId="0"/>
  </cellStyles>
  <dxfs count="13">
    <dxf>
      <font>
        <color rgb="FFFF0000"/>
      </font>
    </dxf>
    <dxf>
      <font>
        <color rgb="FFFF0000"/>
      </font>
    </dxf>
    <dxf>
      <font>
        <color rgb="FFFF0000"/>
      </font>
      <numFmt numFmtId="30" formatCode="@"/>
    </dxf>
    <dxf>
      <font>
        <color rgb="FFFF0000"/>
      </font>
    </dxf>
    <dxf>
      <font>
        <color rgb="FFFF0000"/>
      </font>
    </dxf>
    <dxf>
      <font>
        <color theme="0" tint="-0.14996795556505021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400050</xdr:colOff>
      <xdr:row>0</xdr:row>
      <xdr:rowOff>76200</xdr:rowOff>
    </xdr:from>
    <xdr:to>
      <xdr:col>23</xdr:col>
      <xdr:colOff>1376680</xdr:colOff>
      <xdr:row>0</xdr:row>
      <xdr:rowOff>381635</xdr:rowOff>
    </xdr:to>
    <xdr:pic>
      <xdr:nvPicPr>
        <xdr:cNvPr id="2" name="Image 16">
          <a:extLst>
            <a:ext uri="{FF2B5EF4-FFF2-40B4-BE49-F238E27FC236}">
              <a16:creationId xmlns:a16="http://schemas.microsoft.com/office/drawing/2014/main" id="{42E96801-AF69-4133-9AE5-07CB7D934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39675" y="76200"/>
          <a:ext cx="1929130" cy="305435"/>
        </a:xfrm>
        <a:prstGeom prst="rect">
          <a:avLst/>
        </a:prstGeom>
        <a:noFill/>
        <a:ln>
          <a:noFill/>
        </a:ln>
        <a:extLst>
          <a:ext uri="{FAA26D3D-D897-4be2-8F04-BA451C77F1D7}">
            <ma14:placeholderFlag xmlns:lc="http://schemas.openxmlformats.org/drawingml/2006/lockedCanvas" xmlns:ma14="http://schemas.microsoft.com/office/mac/drawingml/2011/main" xmlns:w="http://schemas.openxmlformats.org/wordprocessingml/2006/main" xmlns:w10="urn:schemas-microsoft-com:office:word" xmlns:v="urn:schemas-microsoft-com:vml" xmlns:o="urn:schemas-microsoft-com:office:office" xmlns:mv="urn:schemas-microsoft-com:mac:vml" xmlns:mo="http://schemas.microsoft.com/office/mac/office/2008/main" xmlns="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6se="http://schemas.microsoft.com/office/word/2015/wordml/symex" xmlns:w16sdtdh="http://schemas.microsoft.com/office/word/2020/wordml/sdtdatahash" xmlns:w16="http://schemas.microsoft.com/office/word/2018/wordml" xmlns:w16cid="http://schemas.microsoft.com/office/word/2016/wordml/cid" xmlns:w16cex="http://schemas.microsoft.com/office/word/2018/wordml/cex" xmlns:w15="http://schemas.microsoft.com/office/word/2012/wordml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oel="http://schemas.microsoft.com/office/2019/extlst" xmlns:am3d="http://schemas.microsoft.com/office/drawing/2017/model3d" xmlns:aink="http://schemas.microsoft.com/office/drawing/2016/ink" xmlns:mc="http://schemas.openxmlformats.org/markup-compatibility/2006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cx1="http://schemas.microsoft.com/office/drawing/2015/9/8/chartex" xmlns:cx="http://schemas.microsoft.com/office/drawing/2014/chartex" xmlns:wpc="http://schemas.microsoft.com/office/word/2010/wordprocessingCanvas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9"/>
  <sheetViews>
    <sheetView tabSelected="1" zoomScaleNormal="100" workbookViewId="0">
      <selection activeCell="P7" sqref="P7:P9"/>
    </sheetView>
  </sheetViews>
  <sheetFormatPr baseColWidth="10" defaultColWidth="11.42578125" defaultRowHeight="12.75" x14ac:dyDescent="0.2"/>
  <cols>
    <col min="1" max="1" width="10.85546875" style="2" customWidth="1"/>
    <col min="2" max="2" width="10" style="2" customWidth="1"/>
    <col min="3" max="3" width="4.28515625" style="2" customWidth="1"/>
    <col min="4" max="7" width="5.7109375" style="2" customWidth="1"/>
    <col min="8" max="14" width="6" style="2" customWidth="1"/>
    <col min="15" max="16" width="11.7109375" style="2" customWidth="1"/>
    <col min="17" max="17" width="9.7109375" style="2" customWidth="1"/>
    <col min="18" max="19" width="5.28515625" style="2" customWidth="1"/>
    <col min="20" max="20" width="14.85546875" style="56" customWidth="1"/>
    <col min="21" max="21" width="14.28515625" style="2" customWidth="1"/>
    <col min="22" max="22" width="20.7109375" style="2" customWidth="1"/>
    <col min="23" max="23" width="14.28515625" style="2" customWidth="1"/>
    <col min="24" max="24" width="20.7109375" style="2" customWidth="1"/>
    <col min="25" max="16384" width="11.42578125" style="2"/>
  </cols>
  <sheetData>
    <row r="1" spans="1:24" ht="37.5" customHeight="1" x14ac:dyDescent="0.8">
      <c r="A1" s="21" t="s">
        <v>9</v>
      </c>
      <c r="B1" s="21"/>
      <c r="C1" s="21"/>
      <c r="D1" s="21"/>
      <c r="E1" s="21"/>
      <c r="F1" s="18"/>
      <c r="G1" s="45" t="s">
        <v>31</v>
      </c>
      <c r="H1" s="75">
        <v>9</v>
      </c>
      <c r="I1" s="76"/>
      <c r="J1" s="76"/>
      <c r="K1" s="18" t="s">
        <v>18</v>
      </c>
      <c r="L1" s="70" t="s">
        <v>48</v>
      </c>
      <c r="M1" s="70"/>
      <c r="N1" s="70"/>
      <c r="O1" s="70"/>
      <c r="P1" s="44"/>
      <c r="Q1" s="18" t="s">
        <v>19</v>
      </c>
      <c r="R1" s="71">
        <v>46081</v>
      </c>
      <c r="S1" s="71"/>
      <c r="T1" s="71"/>
      <c r="U1" s="71"/>
      <c r="V1" s="24"/>
      <c r="W1" s="24"/>
      <c r="X1" s="1"/>
    </row>
    <row r="2" spans="1:24" ht="19.899999999999999" customHeight="1" thickBot="1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22"/>
      <c r="L2" s="22"/>
      <c r="M2" s="22"/>
      <c r="N2" s="22"/>
      <c r="O2" s="22"/>
      <c r="P2" s="22"/>
      <c r="Q2" s="22"/>
      <c r="R2" s="22"/>
      <c r="S2" s="22"/>
      <c r="T2" s="51"/>
      <c r="U2" s="22"/>
      <c r="V2" s="69" t="s">
        <v>44</v>
      </c>
      <c r="W2" s="69"/>
      <c r="X2" s="69"/>
    </row>
    <row r="3" spans="1:24" s="3" customFormat="1" ht="28.15" customHeight="1" x14ac:dyDescent="0.2">
      <c r="A3" s="155" t="s">
        <v>22</v>
      </c>
      <c r="B3" s="156"/>
      <c r="C3" s="170"/>
      <c r="D3" s="149"/>
      <c r="E3" s="150"/>
      <c r="F3" s="150"/>
      <c r="G3" s="150"/>
      <c r="H3" s="150"/>
      <c r="I3" s="150"/>
      <c r="J3" s="150"/>
      <c r="K3" s="150"/>
      <c r="L3" s="151"/>
      <c r="M3" s="155" t="s">
        <v>7</v>
      </c>
      <c r="N3" s="156"/>
      <c r="O3" s="156"/>
      <c r="P3" s="159"/>
      <c r="Q3" s="159"/>
      <c r="R3" s="159"/>
      <c r="S3" s="159"/>
      <c r="T3" s="159"/>
      <c r="U3" s="160"/>
      <c r="V3" s="77" t="s">
        <v>36</v>
      </c>
      <c r="W3" s="168" t="s">
        <v>37</v>
      </c>
      <c r="X3" s="169"/>
    </row>
    <row r="4" spans="1:24" s="3" customFormat="1" ht="21.4" customHeight="1" thickBot="1" x14ac:dyDescent="0.25">
      <c r="A4" s="157"/>
      <c r="B4" s="158"/>
      <c r="C4" s="171"/>
      <c r="D4" s="152"/>
      <c r="E4" s="153"/>
      <c r="F4" s="153"/>
      <c r="G4" s="153"/>
      <c r="H4" s="153"/>
      <c r="I4" s="153"/>
      <c r="J4" s="153"/>
      <c r="K4" s="153"/>
      <c r="L4" s="154"/>
      <c r="M4" s="157"/>
      <c r="N4" s="158"/>
      <c r="O4" s="158"/>
      <c r="P4" s="161"/>
      <c r="Q4" s="161"/>
      <c r="R4" s="161"/>
      <c r="S4" s="161"/>
      <c r="T4" s="161"/>
      <c r="U4" s="162"/>
      <c r="V4" s="78"/>
      <c r="W4" s="115" t="s">
        <v>28</v>
      </c>
      <c r="X4" s="116"/>
    </row>
    <row r="5" spans="1:24" s="3" customFormat="1" ht="35.450000000000003" customHeight="1" x14ac:dyDescent="0.2">
      <c r="A5" s="89" t="s">
        <v>13</v>
      </c>
      <c r="B5" s="90"/>
      <c r="C5" s="91"/>
      <c r="D5" s="174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6"/>
      <c r="V5" s="78"/>
      <c r="W5" s="115"/>
      <c r="X5" s="116"/>
    </row>
    <row r="6" spans="1:24" s="3" customFormat="1" ht="39.6" customHeight="1" thickBot="1" x14ac:dyDescent="0.25">
      <c r="A6" s="92" t="s">
        <v>14</v>
      </c>
      <c r="B6" s="93"/>
      <c r="C6" s="94"/>
      <c r="D6" s="72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4"/>
      <c r="V6" s="79"/>
      <c r="W6" s="113" t="s">
        <v>33</v>
      </c>
      <c r="X6" s="114"/>
    </row>
    <row r="7" spans="1:24" ht="12.75" customHeight="1" x14ac:dyDescent="0.2">
      <c r="A7" s="143" t="s">
        <v>12</v>
      </c>
      <c r="B7" s="144"/>
      <c r="C7" s="144"/>
      <c r="D7" s="144"/>
      <c r="E7" s="39"/>
      <c r="F7" s="39"/>
      <c r="G7" s="39"/>
      <c r="H7" s="163" t="s">
        <v>11</v>
      </c>
      <c r="I7" s="163"/>
      <c r="J7" s="163"/>
      <c r="K7" s="163"/>
      <c r="L7" s="163"/>
      <c r="M7" s="163"/>
      <c r="N7" s="164"/>
      <c r="O7" s="110" t="s">
        <v>30</v>
      </c>
      <c r="P7" s="110" t="s">
        <v>32</v>
      </c>
      <c r="Q7" s="165" t="s">
        <v>35</v>
      </c>
      <c r="R7" s="138" t="s">
        <v>15</v>
      </c>
      <c r="S7" s="138" t="s">
        <v>41</v>
      </c>
      <c r="T7" s="83" t="s">
        <v>45</v>
      </c>
      <c r="U7" s="80" t="s">
        <v>46</v>
      </c>
      <c r="V7" s="110" t="s">
        <v>42</v>
      </c>
      <c r="W7" s="110" t="s">
        <v>34</v>
      </c>
      <c r="X7" s="110" t="s">
        <v>8</v>
      </c>
    </row>
    <row r="8" spans="1:24" ht="24.6" customHeight="1" x14ac:dyDescent="0.25">
      <c r="A8" s="145"/>
      <c r="B8" s="146"/>
      <c r="C8" s="146"/>
      <c r="D8" s="146"/>
      <c r="E8" s="141" t="s">
        <v>29</v>
      </c>
      <c r="F8" s="141" t="s">
        <v>23</v>
      </c>
      <c r="G8" s="141" t="s">
        <v>24</v>
      </c>
      <c r="H8" s="10" t="s">
        <v>0</v>
      </c>
      <c r="I8" s="11" t="s">
        <v>1</v>
      </c>
      <c r="J8" s="11" t="s">
        <v>2</v>
      </c>
      <c r="K8" s="11" t="s">
        <v>3</v>
      </c>
      <c r="L8" s="11" t="s">
        <v>4</v>
      </c>
      <c r="M8" s="25" t="s">
        <v>5</v>
      </c>
      <c r="N8" s="26" t="s">
        <v>6</v>
      </c>
      <c r="O8" s="111"/>
      <c r="P8" s="172"/>
      <c r="Q8" s="166"/>
      <c r="R8" s="139"/>
      <c r="S8" s="139"/>
      <c r="T8" s="84"/>
      <c r="U8" s="81"/>
      <c r="V8" s="111"/>
      <c r="W8" s="111"/>
      <c r="X8" s="111"/>
    </row>
    <row r="9" spans="1:24" ht="24.6" customHeight="1" thickBot="1" x14ac:dyDescent="0.25">
      <c r="A9" s="147"/>
      <c r="B9" s="148"/>
      <c r="C9" s="148"/>
      <c r="D9" s="148"/>
      <c r="E9" s="142"/>
      <c r="F9" s="142"/>
      <c r="G9" s="142"/>
      <c r="H9" s="12">
        <v>23</v>
      </c>
      <c r="I9" s="12">
        <v>24</v>
      </c>
      <c r="J9" s="12">
        <v>25</v>
      </c>
      <c r="K9" s="12">
        <v>26</v>
      </c>
      <c r="L9" s="12">
        <v>27</v>
      </c>
      <c r="M9" s="27">
        <v>28</v>
      </c>
      <c r="N9" s="28"/>
      <c r="O9" s="112"/>
      <c r="P9" s="173"/>
      <c r="Q9" s="167"/>
      <c r="R9" s="140"/>
      <c r="S9" s="140"/>
      <c r="T9" s="85"/>
      <c r="U9" s="82"/>
      <c r="V9" s="112"/>
      <c r="W9" s="112"/>
      <c r="X9" s="112"/>
    </row>
    <row r="10" spans="1:24" s="4" customFormat="1" ht="30.95" customHeight="1" x14ac:dyDescent="0.2">
      <c r="A10" s="133"/>
      <c r="B10" s="99"/>
      <c r="C10" s="99"/>
      <c r="D10" s="100"/>
      <c r="E10" s="58"/>
      <c r="F10" s="58"/>
      <c r="G10" s="68" t="str">
        <f>IF(E10="","",IF(E10&lt;F10,IF((F10-E10)*24&gt;9.5,0.75,IF((F10-E10)*24&gt;6,0.5,0)),IF((F10-E10+1)*24&gt;9.5,0.75,IF((F10-E10+1)*24&gt;6,0.5,0))))</f>
        <v/>
      </c>
      <c r="H10" s="66"/>
      <c r="I10" s="67"/>
      <c r="J10" s="67"/>
      <c r="K10" s="67"/>
      <c r="L10" s="67"/>
      <c r="M10" s="29"/>
      <c r="N10" s="30"/>
      <c r="O10" s="65" t="str">
        <f>IF(E10="","",IF(E10&lt;F10,F10-E10,F10-E10+1)*24)</f>
        <v/>
      </c>
      <c r="P10" s="65" t="str">
        <f>IF(E10="","",IF(O10-G10&gt;10,"Arbeitszeit prüfen",SUM(O10-G10)))</f>
        <v/>
      </c>
      <c r="Q10" s="46"/>
      <c r="R10" s="47"/>
      <c r="S10" s="63"/>
      <c r="T10" s="52"/>
      <c r="U10" s="47"/>
      <c r="V10" s="48"/>
      <c r="W10" s="50"/>
      <c r="X10" s="49"/>
    </row>
    <row r="11" spans="1:24" s="4" customFormat="1" ht="30.95" customHeight="1" x14ac:dyDescent="0.2">
      <c r="A11" s="98"/>
      <c r="B11" s="99"/>
      <c r="C11" s="99"/>
      <c r="D11" s="100"/>
      <c r="E11" s="58"/>
      <c r="F11" s="58"/>
      <c r="G11" s="68" t="str">
        <f t="shared" ref="G11:G49" si="0">IF(E11="","",IF(E11&lt;F11,IF((F11-E11)*24&gt;9.5,0.75,IF((F11-E11)*24&gt;6,0.5,0)),IF((F11-E11+1)*24&gt;9.5,0.75,IF((F11-E11+1)*24&gt;6,0.5,0))))</f>
        <v/>
      </c>
      <c r="H11" s="66"/>
      <c r="I11" s="67"/>
      <c r="J11" s="67"/>
      <c r="K11" s="67"/>
      <c r="L11" s="67"/>
      <c r="M11" s="29"/>
      <c r="N11" s="30"/>
      <c r="O11" s="65" t="str">
        <f t="shared" ref="O11:O49" si="1">IF(E11="","",IF(E11&lt;F11,F11-E11,F11-E11+1)*24)</f>
        <v/>
      </c>
      <c r="P11" s="60" t="str">
        <f t="shared" ref="P11:P49" si="2">IF(E11="","",IF(O11-G11&gt;10,"Arbeitszeit prüfen",SUM(O11-G11)))</f>
        <v/>
      </c>
      <c r="Q11" s="46"/>
      <c r="R11" s="47"/>
      <c r="S11" s="47"/>
      <c r="T11" s="52"/>
      <c r="U11" s="47"/>
      <c r="V11" s="48"/>
      <c r="W11" s="50"/>
      <c r="X11" s="49"/>
    </row>
    <row r="12" spans="1:24" s="4" customFormat="1" ht="30.95" customHeight="1" x14ac:dyDescent="0.2">
      <c r="A12" s="98"/>
      <c r="B12" s="99"/>
      <c r="C12" s="99"/>
      <c r="D12" s="100"/>
      <c r="E12" s="58"/>
      <c r="F12" s="58"/>
      <c r="G12" s="68" t="str">
        <f t="shared" si="0"/>
        <v/>
      </c>
      <c r="H12" s="66"/>
      <c r="I12" s="67"/>
      <c r="J12" s="67"/>
      <c r="K12" s="67"/>
      <c r="L12" s="67"/>
      <c r="M12" s="29"/>
      <c r="N12" s="30"/>
      <c r="O12" s="65" t="str">
        <f t="shared" si="1"/>
        <v/>
      </c>
      <c r="P12" s="60" t="str">
        <f t="shared" si="2"/>
        <v/>
      </c>
      <c r="Q12" s="46"/>
      <c r="R12" s="47"/>
      <c r="S12" s="47"/>
      <c r="T12" s="52"/>
      <c r="U12" s="47"/>
      <c r="V12" s="48"/>
      <c r="W12" s="50"/>
      <c r="X12" s="49"/>
    </row>
    <row r="13" spans="1:24" s="4" customFormat="1" ht="30.95" customHeight="1" x14ac:dyDescent="0.2">
      <c r="A13" s="98"/>
      <c r="B13" s="99"/>
      <c r="C13" s="99"/>
      <c r="D13" s="100"/>
      <c r="E13" s="58"/>
      <c r="F13" s="58"/>
      <c r="G13" s="68" t="str">
        <f t="shared" si="0"/>
        <v/>
      </c>
      <c r="H13" s="66"/>
      <c r="I13" s="67"/>
      <c r="J13" s="67"/>
      <c r="K13" s="67"/>
      <c r="L13" s="67"/>
      <c r="M13" s="29"/>
      <c r="N13" s="30"/>
      <c r="O13" s="65" t="str">
        <f t="shared" si="1"/>
        <v/>
      </c>
      <c r="P13" s="60" t="str">
        <f t="shared" si="2"/>
        <v/>
      </c>
      <c r="Q13" s="46"/>
      <c r="R13" s="47"/>
      <c r="S13" s="47"/>
      <c r="T13" s="52"/>
      <c r="U13" s="47"/>
      <c r="V13" s="48"/>
      <c r="W13" s="50"/>
      <c r="X13" s="49"/>
    </row>
    <row r="14" spans="1:24" s="4" customFormat="1" ht="30.95" customHeight="1" x14ac:dyDescent="0.2">
      <c r="A14" s="98"/>
      <c r="B14" s="99"/>
      <c r="C14" s="99"/>
      <c r="D14" s="100"/>
      <c r="E14" s="58"/>
      <c r="F14" s="58"/>
      <c r="G14" s="68" t="str">
        <f t="shared" si="0"/>
        <v/>
      </c>
      <c r="H14" s="66"/>
      <c r="I14" s="67"/>
      <c r="J14" s="67"/>
      <c r="K14" s="67"/>
      <c r="L14" s="67"/>
      <c r="M14" s="29"/>
      <c r="N14" s="30"/>
      <c r="O14" s="65" t="str">
        <f t="shared" si="1"/>
        <v/>
      </c>
      <c r="P14" s="60" t="str">
        <f t="shared" si="2"/>
        <v/>
      </c>
      <c r="Q14" s="46"/>
      <c r="R14" s="47"/>
      <c r="S14" s="47"/>
      <c r="T14" s="52"/>
      <c r="U14" s="47"/>
      <c r="V14" s="48"/>
      <c r="W14" s="50"/>
      <c r="X14" s="49"/>
    </row>
    <row r="15" spans="1:24" s="4" customFormat="1" ht="30.95" customHeight="1" x14ac:dyDescent="0.2">
      <c r="A15" s="98"/>
      <c r="B15" s="99"/>
      <c r="C15" s="99"/>
      <c r="D15" s="100"/>
      <c r="E15" s="58"/>
      <c r="F15" s="58"/>
      <c r="G15" s="68" t="str">
        <f t="shared" si="0"/>
        <v/>
      </c>
      <c r="H15" s="66"/>
      <c r="I15" s="67"/>
      <c r="J15" s="67"/>
      <c r="K15" s="67"/>
      <c r="L15" s="67"/>
      <c r="M15" s="29"/>
      <c r="N15" s="30"/>
      <c r="O15" s="65" t="str">
        <f t="shared" si="1"/>
        <v/>
      </c>
      <c r="P15" s="60" t="str">
        <f t="shared" si="2"/>
        <v/>
      </c>
      <c r="Q15" s="46"/>
      <c r="R15" s="47"/>
      <c r="S15" s="47"/>
      <c r="T15" s="52"/>
      <c r="U15" s="47"/>
      <c r="V15" s="48"/>
      <c r="W15" s="50"/>
      <c r="X15" s="49"/>
    </row>
    <row r="16" spans="1:24" s="4" customFormat="1" ht="30.95" customHeight="1" x14ac:dyDescent="0.2">
      <c r="A16" s="98"/>
      <c r="B16" s="99"/>
      <c r="C16" s="99"/>
      <c r="D16" s="100"/>
      <c r="E16" s="58"/>
      <c r="F16" s="58"/>
      <c r="G16" s="68" t="str">
        <f t="shared" si="0"/>
        <v/>
      </c>
      <c r="H16" s="66"/>
      <c r="I16" s="67"/>
      <c r="J16" s="67"/>
      <c r="K16" s="67"/>
      <c r="L16" s="67"/>
      <c r="M16" s="29"/>
      <c r="N16" s="30"/>
      <c r="O16" s="65" t="str">
        <f t="shared" si="1"/>
        <v/>
      </c>
      <c r="P16" s="60" t="str">
        <f t="shared" si="2"/>
        <v/>
      </c>
      <c r="Q16" s="46"/>
      <c r="R16" s="47"/>
      <c r="S16" s="47"/>
      <c r="T16" s="52"/>
      <c r="U16" s="47"/>
      <c r="V16" s="48"/>
      <c r="W16" s="50"/>
      <c r="X16" s="49"/>
    </row>
    <row r="17" spans="1:24" s="4" customFormat="1" ht="30.95" customHeight="1" x14ac:dyDescent="0.2">
      <c r="A17" s="98"/>
      <c r="B17" s="99"/>
      <c r="C17" s="99"/>
      <c r="D17" s="100"/>
      <c r="E17" s="58"/>
      <c r="F17" s="58"/>
      <c r="G17" s="68" t="str">
        <f t="shared" si="0"/>
        <v/>
      </c>
      <c r="H17" s="66"/>
      <c r="I17" s="67"/>
      <c r="J17" s="67"/>
      <c r="K17" s="67"/>
      <c r="L17" s="67"/>
      <c r="M17" s="29"/>
      <c r="N17" s="30"/>
      <c r="O17" s="65" t="str">
        <f t="shared" si="1"/>
        <v/>
      </c>
      <c r="P17" s="60" t="str">
        <f t="shared" si="2"/>
        <v/>
      </c>
      <c r="Q17" s="46"/>
      <c r="R17" s="47"/>
      <c r="S17" s="47"/>
      <c r="T17" s="52"/>
      <c r="U17" s="47"/>
      <c r="V17" s="48"/>
      <c r="W17" s="50"/>
      <c r="X17" s="49"/>
    </row>
    <row r="18" spans="1:24" s="4" customFormat="1" ht="30.95" customHeight="1" x14ac:dyDescent="0.2">
      <c r="A18" s="98"/>
      <c r="B18" s="99"/>
      <c r="C18" s="99"/>
      <c r="D18" s="100"/>
      <c r="E18" s="58"/>
      <c r="F18" s="58"/>
      <c r="G18" s="68" t="str">
        <f t="shared" si="0"/>
        <v/>
      </c>
      <c r="H18" s="66"/>
      <c r="I18" s="67"/>
      <c r="J18" s="67"/>
      <c r="K18" s="67"/>
      <c r="L18" s="67"/>
      <c r="M18" s="29"/>
      <c r="N18" s="30"/>
      <c r="O18" s="65" t="str">
        <f t="shared" si="1"/>
        <v/>
      </c>
      <c r="P18" s="60" t="str">
        <f t="shared" si="2"/>
        <v/>
      </c>
      <c r="Q18" s="46"/>
      <c r="R18" s="47"/>
      <c r="S18" s="47"/>
      <c r="T18" s="52"/>
      <c r="U18" s="47"/>
      <c r="V18" s="48"/>
      <c r="W18" s="50"/>
      <c r="X18" s="49"/>
    </row>
    <row r="19" spans="1:24" s="4" customFormat="1" ht="30.95" customHeight="1" x14ac:dyDescent="0.2">
      <c r="A19" s="98"/>
      <c r="B19" s="99"/>
      <c r="C19" s="99"/>
      <c r="D19" s="100"/>
      <c r="E19" s="58"/>
      <c r="F19" s="58"/>
      <c r="G19" s="68" t="str">
        <f t="shared" si="0"/>
        <v/>
      </c>
      <c r="H19" s="66"/>
      <c r="I19" s="67"/>
      <c r="J19" s="67"/>
      <c r="K19" s="67"/>
      <c r="L19" s="67"/>
      <c r="M19" s="29"/>
      <c r="N19" s="30"/>
      <c r="O19" s="65" t="str">
        <f t="shared" si="1"/>
        <v/>
      </c>
      <c r="P19" s="60" t="str">
        <f t="shared" si="2"/>
        <v/>
      </c>
      <c r="Q19" s="46"/>
      <c r="R19" s="47"/>
      <c r="S19" s="47"/>
      <c r="T19" s="52"/>
      <c r="U19" s="47"/>
      <c r="V19" s="48"/>
      <c r="W19" s="50"/>
      <c r="X19" s="49"/>
    </row>
    <row r="20" spans="1:24" s="4" customFormat="1" ht="30.95" customHeight="1" x14ac:dyDescent="0.2">
      <c r="A20" s="98"/>
      <c r="B20" s="99"/>
      <c r="C20" s="99"/>
      <c r="D20" s="100"/>
      <c r="E20" s="58"/>
      <c r="F20" s="58"/>
      <c r="G20" s="68" t="str">
        <f t="shared" si="0"/>
        <v/>
      </c>
      <c r="H20" s="66"/>
      <c r="I20" s="67"/>
      <c r="J20" s="67"/>
      <c r="K20" s="67"/>
      <c r="L20" s="67"/>
      <c r="M20" s="29"/>
      <c r="N20" s="30"/>
      <c r="O20" s="65" t="str">
        <f t="shared" si="1"/>
        <v/>
      </c>
      <c r="P20" s="60" t="str">
        <f t="shared" si="2"/>
        <v/>
      </c>
      <c r="Q20" s="46"/>
      <c r="R20" s="47"/>
      <c r="S20" s="47"/>
      <c r="T20" s="52"/>
      <c r="U20" s="47"/>
      <c r="V20" s="48"/>
      <c r="W20" s="50"/>
      <c r="X20" s="49"/>
    </row>
    <row r="21" spans="1:24" s="4" customFormat="1" ht="30.95" customHeight="1" x14ac:dyDescent="0.2">
      <c r="A21" s="98"/>
      <c r="B21" s="99"/>
      <c r="C21" s="99"/>
      <c r="D21" s="100"/>
      <c r="E21" s="58"/>
      <c r="F21" s="58"/>
      <c r="G21" s="68" t="str">
        <f t="shared" si="0"/>
        <v/>
      </c>
      <c r="H21" s="66"/>
      <c r="I21" s="67"/>
      <c r="J21" s="67"/>
      <c r="K21" s="67"/>
      <c r="L21" s="67"/>
      <c r="M21" s="29"/>
      <c r="N21" s="30"/>
      <c r="O21" s="65" t="str">
        <f t="shared" si="1"/>
        <v/>
      </c>
      <c r="P21" s="60" t="str">
        <f t="shared" si="2"/>
        <v/>
      </c>
      <c r="Q21" s="46"/>
      <c r="R21" s="47"/>
      <c r="S21" s="47"/>
      <c r="T21" s="52"/>
      <c r="U21" s="47"/>
      <c r="V21" s="48"/>
      <c r="W21" s="50"/>
      <c r="X21" s="49"/>
    </row>
    <row r="22" spans="1:24" s="4" customFormat="1" ht="30.95" customHeight="1" x14ac:dyDescent="0.2">
      <c r="A22" s="98"/>
      <c r="B22" s="99"/>
      <c r="C22" s="99"/>
      <c r="D22" s="100"/>
      <c r="E22" s="58"/>
      <c r="F22" s="58"/>
      <c r="G22" s="68" t="str">
        <f t="shared" si="0"/>
        <v/>
      </c>
      <c r="H22" s="66"/>
      <c r="I22" s="67"/>
      <c r="J22" s="67"/>
      <c r="K22" s="67"/>
      <c r="L22" s="67"/>
      <c r="M22" s="29"/>
      <c r="N22" s="30"/>
      <c r="O22" s="65" t="str">
        <f t="shared" si="1"/>
        <v/>
      </c>
      <c r="P22" s="60" t="str">
        <f t="shared" si="2"/>
        <v/>
      </c>
      <c r="Q22" s="46"/>
      <c r="R22" s="47"/>
      <c r="S22" s="47"/>
      <c r="T22" s="52"/>
      <c r="U22" s="47"/>
      <c r="V22" s="48"/>
      <c r="W22" s="50"/>
      <c r="X22" s="49"/>
    </row>
    <row r="23" spans="1:24" s="4" customFormat="1" ht="30.95" customHeight="1" x14ac:dyDescent="0.2">
      <c r="A23" s="98"/>
      <c r="B23" s="99"/>
      <c r="C23" s="99"/>
      <c r="D23" s="100"/>
      <c r="E23" s="58"/>
      <c r="F23" s="58"/>
      <c r="G23" s="68" t="str">
        <f t="shared" si="0"/>
        <v/>
      </c>
      <c r="H23" s="66"/>
      <c r="I23" s="67"/>
      <c r="J23" s="67"/>
      <c r="K23" s="67"/>
      <c r="L23" s="67"/>
      <c r="M23" s="29"/>
      <c r="N23" s="30"/>
      <c r="O23" s="65" t="str">
        <f t="shared" si="1"/>
        <v/>
      </c>
      <c r="P23" s="60" t="str">
        <f t="shared" si="2"/>
        <v/>
      </c>
      <c r="Q23" s="46"/>
      <c r="R23" s="47"/>
      <c r="S23" s="47"/>
      <c r="T23" s="52"/>
      <c r="U23" s="47"/>
      <c r="V23" s="48"/>
      <c r="W23" s="50"/>
      <c r="X23" s="49"/>
    </row>
    <row r="24" spans="1:24" s="4" customFormat="1" ht="30.95" customHeight="1" x14ac:dyDescent="0.2">
      <c r="A24" s="98"/>
      <c r="B24" s="99"/>
      <c r="C24" s="99"/>
      <c r="D24" s="100"/>
      <c r="E24" s="58"/>
      <c r="F24" s="58"/>
      <c r="G24" s="68" t="str">
        <f t="shared" si="0"/>
        <v/>
      </c>
      <c r="H24" s="66"/>
      <c r="I24" s="67"/>
      <c r="J24" s="67"/>
      <c r="K24" s="67"/>
      <c r="L24" s="67"/>
      <c r="M24" s="29"/>
      <c r="N24" s="30"/>
      <c r="O24" s="65" t="str">
        <f t="shared" si="1"/>
        <v/>
      </c>
      <c r="P24" s="60" t="str">
        <f t="shared" si="2"/>
        <v/>
      </c>
      <c r="Q24" s="46"/>
      <c r="R24" s="47"/>
      <c r="S24" s="47"/>
      <c r="T24" s="52"/>
      <c r="U24" s="47"/>
      <c r="V24" s="48"/>
      <c r="W24" s="50"/>
      <c r="X24" s="49"/>
    </row>
    <row r="25" spans="1:24" s="4" customFormat="1" ht="30.95" customHeight="1" x14ac:dyDescent="0.2">
      <c r="A25" s="98"/>
      <c r="B25" s="99"/>
      <c r="C25" s="99"/>
      <c r="D25" s="100"/>
      <c r="E25" s="58"/>
      <c r="F25" s="58"/>
      <c r="G25" s="68" t="str">
        <f t="shared" si="0"/>
        <v/>
      </c>
      <c r="H25" s="66"/>
      <c r="I25" s="67"/>
      <c r="J25" s="67"/>
      <c r="K25" s="67"/>
      <c r="L25" s="67"/>
      <c r="M25" s="29"/>
      <c r="N25" s="30"/>
      <c r="O25" s="65" t="str">
        <f t="shared" si="1"/>
        <v/>
      </c>
      <c r="P25" s="60" t="str">
        <f t="shared" si="2"/>
        <v/>
      </c>
      <c r="Q25" s="46"/>
      <c r="R25" s="47"/>
      <c r="S25" s="47"/>
      <c r="T25" s="52"/>
      <c r="U25" s="47"/>
      <c r="V25" s="48"/>
      <c r="W25" s="50"/>
      <c r="X25" s="49"/>
    </row>
    <row r="26" spans="1:24" s="4" customFormat="1" ht="30.95" customHeight="1" x14ac:dyDescent="0.2">
      <c r="A26" s="98"/>
      <c r="B26" s="99"/>
      <c r="C26" s="99"/>
      <c r="D26" s="100"/>
      <c r="E26" s="58"/>
      <c r="F26" s="58"/>
      <c r="G26" s="68" t="str">
        <f t="shared" si="0"/>
        <v/>
      </c>
      <c r="H26" s="66"/>
      <c r="I26" s="67"/>
      <c r="J26" s="67"/>
      <c r="K26" s="67"/>
      <c r="L26" s="67"/>
      <c r="M26" s="29"/>
      <c r="N26" s="30"/>
      <c r="O26" s="65" t="str">
        <f t="shared" si="1"/>
        <v/>
      </c>
      <c r="P26" s="60" t="str">
        <f t="shared" si="2"/>
        <v/>
      </c>
      <c r="Q26" s="46"/>
      <c r="R26" s="47"/>
      <c r="S26" s="47"/>
      <c r="T26" s="52"/>
      <c r="U26" s="47"/>
      <c r="V26" s="48"/>
      <c r="W26" s="50"/>
      <c r="X26" s="49"/>
    </row>
    <row r="27" spans="1:24" s="4" customFormat="1" ht="30.95" customHeight="1" x14ac:dyDescent="0.2">
      <c r="A27" s="98"/>
      <c r="B27" s="99"/>
      <c r="C27" s="99"/>
      <c r="D27" s="100"/>
      <c r="E27" s="58"/>
      <c r="F27" s="58"/>
      <c r="G27" s="68" t="str">
        <f t="shared" si="0"/>
        <v/>
      </c>
      <c r="H27" s="66"/>
      <c r="I27" s="67"/>
      <c r="J27" s="67"/>
      <c r="K27" s="67"/>
      <c r="L27" s="67"/>
      <c r="M27" s="29"/>
      <c r="N27" s="30"/>
      <c r="O27" s="65" t="str">
        <f t="shared" si="1"/>
        <v/>
      </c>
      <c r="P27" s="60" t="str">
        <f t="shared" si="2"/>
        <v/>
      </c>
      <c r="Q27" s="46"/>
      <c r="R27" s="47"/>
      <c r="S27" s="47"/>
      <c r="T27" s="52"/>
      <c r="U27" s="47"/>
      <c r="V27" s="48"/>
      <c r="W27" s="50"/>
      <c r="X27" s="49"/>
    </row>
    <row r="28" spans="1:24" s="4" customFormat="1" ht="30.95" customHeight="1" x14ac:dyDescent="0.2">
      <c r="A28" s="98"/>
      <c r="B28" s="99"/>
      <c r="C28" s="99"/>
      <c r="D28" s="100"/>
      <c r="E28" s="58"/>
      <c r="F28" s="58"/>
      <c r="G28" s="68" t="str">
        <f t="shared" si="0"/>
        <v/>
      </c>
      <c r="H28" s="66"/>
      <c r="I28" s="67"/>
      <c r="J28" s="67"/>
      <c r="K28" s="67"/>
      <c r="L28" s="67"/>
      <c r="M28" s="29"/>
      <c r="N28" s="30"/>
      <c r="O28" s="65" t="str">
        <f t="shared" si="1"/>
        <v/>
      </c>
      <c r="P28" s="60" t="str">
        <f t="shared" si="2"/>
        <v/>
      </c>
      <c r="Q28" s="46"/>
      <c r="R28" s="47"/>
      <c r="S28" s="47"/>
      <c r="T28" s="52"/>
      <c r="U28" s="47"/>
      <c r="V28" s="48"/>
      <c r="W28" s="50"/>
      <c r="X28" s="49"/>
    </row>
    <row r="29" spans="1:24" s="4" customFormat="1" ht="30.95" customHeight="1" x14ac:dyDescent="0.2">
      <c r="A29" s="98"/>
      <c r="B29" s="99"/>
      <c r="C29" s="99"/>
      <c r="D29" s="100"/>
      <c r="E29" s="58"/>
      <c r="F29" s="58"/>
      <c r="G29" s="68" t="str">
        <f t="shared" si="0"/>
        <v/>
      </c>
      <c r="H29" s="66"/>
      <c r="I29" s="67"/>
      <c r="J29" s="67"/>
      <c r="K29" s="67"/>
      <c r="L29" s="67"/>
      <c r="M29" s="29"/>
      <c r="N29" s="30"/>
      <c r="O29" s="65" t="str">
        <f t="shared" si="1"/>
        <v/>
      </c>
      <c r="P29" s="60" t="str">
        <f t="shared" si="2"/>
        <v/>
      </c>
      <c r="Q29" s="46"/>
      <c r="R29" s="47"/>
      <c r="S29" s="47"/>
      <c r="T29" s="52"/>
      <c r="U29" s="47"/>
      <c r="V29" s="48"/>
      <c r="W29" s="50"/>
      <c r="X29" s="49"/>
    </row>
    <row r="30" spans="1:24" s="4" customFormat="1" ht="30.95" customHeight="1" x14ac:dyDescent="0.2">
      <c r="A30" s="98"/>
      <c r="B30" s="99"/>
      <c r="C30" s="99"/>
      <c r="D30" s="100"/>
      <c r="E30" s="58"/>
      <c r="F30" s="58"/>
      <c r="G30" s="68" t="str">
        <f t="shared" si="0"/>
        <v/>
      </c>
      <c r="H30" s="66"/>
      <c r="I30" s="67"/>
      <c r="J30" s="67"/>
      <c r="K30" s="67"/>
      <c r="L30" s="67"/>
      <c r="M30" s="29"/>
      <c r="N30" s="30"/>
      <c r="O30" s="65" t="str">
        <f t="shared" si="1"/>
        <v/>
      </c>
      <c r="P30" s="60" t="str">
        <f t="shared" si="2"/>
        <v/>
      </c>
      <c r="Q30" s="46"/>
      <c r="R30" s="47"/>
      <c r="S30" s="47"/>
      <c r="T30" s="52"/>
      <c r="U30" s="47"/>
      <c r="V30" s="48"/>
      <c r="W30" s="50"/>
      <c r="X30" s="49"/>
    </row>
    <row r="31" spans="1:24" s="4" customFormat="1" ht="30.95" customHeight="1" x14ac:dyDescent="0.2">
      <c r="A31" s="98"/>
      <c r="B31" s="99"/>
      <c r="C31" s="99"/>
      <c r="D31" s="100"/>
      <c r="E31" s="58"/>
      <c r="F31" s="58"/>
      <c r="G31" s="68" t="str">
        <f t="shared" si="0"/>
        <v/>
      </c>
      <c r="H31" s="66"/>
      <c r="I31" s="67"/>
      <c r="J31" s="67"/>
      <c r="K31" s="67"/>
      <c r="L31" s="67"/>
      <c r="M31" s="29"/>
      <c r="N31" s="30"/>
      <c r="O31" s="65" t="str">
        <f t="shared" si="1"/>
        <v/>
      </c>
      <c r="P31" s="60" t="str">
        <f t="shared" si="2"/>
        <v/>
      </c>
      <c r="Q31" s="46"/>
      <c r="R31" s="47"/>
      <c r="S31" s="47"/>
      <c r="T31" s="52"/>
      <c r="U31" s="47"/>
      <c r="V31" s="48"/>
      <c r="W31" s="50"/>
      <c r="X31" s="49"/>
    </row>
    <row r="32" spans="1:24" s="4" customFormat="1" ht="30.95" customHeight="1" x14ac:dyDescent="0.2">
      <c r="A32" s="98"/>
      <c r="B32" s="99"/>
      <c r="C32" s="99"/>
      <c r="D32" s="100"/>
      <c r="E32" s="58"/>
      <c r="F32" s="58"/>
      <c r="G32" s="68" t="str">
        <f t="shared" si="0"/>
        <v/>
      </c>
      <c r="H32" s="66"/>
      <c r="I32" s="67"/>
      <c r="J32" s="67"/>
      <c r="K32" s="67"/>
      <c r="L32" s="67"/>
      <c r="M32" s="29"/>
      <c r="N32" s="30"/>
      <c r="O32" s="65" t="str">
        <f t="shared" si="1"/>
        <v/>
      </c>
      <c r="P32" s="60" t="str">
        <f t="shared" si="2"/>
        <v/>
      </c>
      <c r="Q32" s="46"/>
      <c r="R32" s="47"/>
      <c r="S32" s="47"/>
      <c r="T32" s="52"/>
      <c r="U32" s="47"/>
      <c r="V32" s="48"/>
      <c r="W32" s="50"/>
      <c r="X32" s="49"/>
    </row>
    <row r="33" spans="1:24" s="4" customFormat="1" ht="30.95" customHeight="1" x14ac:dyDescent="0.2">
      <c r="A33" s="98"/>
      <c r="B33" s="99"/>
      <c r="C33" s="99"/>
      <c r="D33" s="100"/>
      <c r="E33" s="58"/>
      <c r="F33" s="58"/>
      <c r="G33" s="68" t="str">
        <f t="shared" si="0"/>
        <v/>
      </c>
      <c r="H33" s="66"/>
      <c r="I33" s="67"/>
      <c r="J33" s="67"/>
      <c r="K33" s="67"/>
      <c r="L33" s="67"/>
      <c r="M33" s="29"/>
      <c r="N33" s="30"/>
      <c r="O33" s="65" t="str">
        <f t="shared" si="1"/>
        <v/>
      </c>
      <c r="P33" s="60" t="str">
        <f t="shared" si="2"/>
        <v/>
      </c>
      <c r="Q33" s="46"/>
      <c r="R33" s="47"/>
      <c r="S33" s="47"/>
      <c r="T33" s="52"/>
      <c r="U33" s="47"/>
      <c r="V33" s="48"/>
      <c r="W33" s="50"/>
      <c r="X33" s="49"/>
    </row>
    <row r="34" spans="1:24" s="4" customFormat="1" ht="30.95" customHeight="1" x14ac:dyDescent="0.2">
      <c r="A34" s="98"/>
      <c r="B34" s="99"/>
      <c r="C34" s="99"/>
      <c r="D34" s="100"/>
      <c r="E34" s="58"/>
      <c r="F34" s="58"/>
      <c r="G34" s="68" t="str">
        <f t="shared" si="0"/>
        <v/>
      </c>
      <c r="H34" s="66"/>
      <c r="I34" s="67"/>
      <c r="J34" s="67"/>
      <c r="K34" s="67"/>
      <c r="L34" s="67"/>
      <c r="M34" s="29"/>
      <c r="N34" s="30"/>
      <c r="O34" s="65" t="str">
        <f t="shared" si="1"/>
        <v/>
      </c>
      <c r="P34" s="60" t="str">
        <f t="shared" si="2"/>
        <v/>
      </c>
      <c r="Q34" s="46"/>
      <c r="R34" s="47"/>
      <c r="S34" s="47"/>
      <c r="T34" s="52"/>
      <c r="U34" s="47"/>
      <c r="V34" s="48"/>
      <c r="W34" s="50"/>
      <c r="X34" s="49"/>
    </row>
    <row r="35" spans="1:24" s="4" customFormat="1" ht="30.95" customHeight="1" x14ac:dyDescent="0.2">
      <c r="A35" s="98"/>
      <c r="B35" s="99"/>
      <c r="C35" s="99"/>
      <c r="D35" s="100"/>
      <c r="E35" s="58"/>
      <c r="F35" s="58"/>
      <c r="G35" s="68" t="str">
        <f t="shared" si="0"/>
        <v/>
      </c>
      <c r="H35" s="66"/>
      <c r="I35" s="67"/>
      <c r="J35" s="67"/>
      <c r="K35" s="67"/>
      <c r="L35" s="67"/>
      <c r="M35" s="29"/>
      <c r="N35" s="30"/>
      <c r="O35" s="65" t="str">
        <f t="shared" si="1"/>
        <v/>
      </c>
      <c r="P35" s="60" t="str">
        <f t="shared" si="2"/>
        <v/>
      </c>
      <c r="Q35" s="46"/>
      <c r="R35" s="47"/>
      <c r="S35" s="47"/>
      <c r="T35" s="52"/>
      <c r="U35" s="47"/>
      <c r="V35" s="48"/>
      <c r="W35" s="50"/>
      <c r="X35" s="49"/>
    </row>
    <row r="36" spans="1:24" s="4" customFormat="1" ht="30.95" customHeight="1" x14ac:dyDescent="0.2">
      <c r="A36" s="98"/>
      <c r="B36" s="99"/>
      <c r="C36" s="99"/>
      <c r="D36" s="100"/>
      <c r="E36" s="58"/>
      <c r="F36" s="58"/>
      <c r="G36" s="68" t="str">
        <f t="shared" si="0"/>
        <v/>
      </c>
      <c r="H36" s="66"/>
      <c r="I36" s="67"/>
      <c r="J36" s="67"/>
      <c r="K36" s="67"/>
      <c r="L36" s="67"/>
      <c r="M36" s="29"/>
      <c r="N36" s="30"/>
      <c r="O36" s="65" t="str">
        <f t="shared" si="1"/>
        <v/>
      </c>
      <c r="P36" s="60" t="str">
        <f t="shared" si="2"/>
        <v/>
      </c>
      <c r="Q36" s="46"/>
      <c r="R36" s="47"/>
      <c r="S36" s="47"/>
      <c r="T36" s="52"/>
      <c r="U36" s="47"/>
      <c r="V36" s="48"/>
      <c r="W36" s="50"/>
      <c r="X36" s="49"/>
    </row>
    <row r="37" spans="1:24" s="4" customFormat="1" ht="30.95" customHeight="1" x14ac:dyDescent="0.2">
      <c r="A37" s="98"/>
      <c r="B37" s="99"/>
      <c r="C37" s="99"/>
      <c r="D37" s="100"/>
      <c r="E37" s="58"/>
      <c r="F37" s="58"/>
      <c r="G37" s="68" t="str">
        <f t="shared" si="0"/>
        <v/>
      </c>
      <c r="H37" s="66"/>
      <c r="I37" s="67"/>
      <c r="J37" s="67"/>
      <c r="K37" s="67"/>
      <c r="L37" s="67"/>
      <c r="M37" s="29"/>
      <c r="N37" s="30"/>
      <c r="O37" s="65" t="str">
        <f t="shared" si="1"/>
        <v/>
      </c>
      <c r="P37" s="60" t="str">
        <f t="shared" si="2"/>
        <v/>
      </c>
      <c r="Q37" s="46"/>
      <c r="R37" s="47"/>
      <c r="S37" s="47"/>
      <c r="T37" s="52"/>
      <c r="U37" s="47"/>
      <c r="V37" s="48"/>
      <c r="W37" s="50"/>
      <c r="X37" s="49"/>
    </row>
    <row r="38" spans="1:24" s="4" customFormat="1" ht="30.95" customHeight="1" x14ac:dyDescent="0.2">
      <c r="A38" s="98"/>
      <c r="B38" s="99"/>
      <c r="C38" s="99"/>
      <c r="D38" s="100"/>
      <c r="E38" s="58"/>
      <c r="F38" s="58"/>
      <c r="G38" s="68" t="str">
        <f t="shared" si="0"/>
        <v/>
      </c>
      <c r="H38" s="66"/>
      <c r="I38" s="67"/>
      <c r="J38" s="67"/>
      <c r="K38" s="67"/>
      <c r="L38" s="67"/>
      <c r="M38" s="29"/>
      <c r="N38" s="30"/>
      <c r="O38" s="65" t="str">
        <f t="shared" si="1"/>
        <v/>
      </c>
      <c r="P38" s="60" t="str">
        <f t="shared" si="2"/>
        <v/>
      </c>
      <c r="Q38" s="46"/>
      <c r="R38" s="47"/>
      <c r="S38" s="47"/>
      <c r="T38" s="52"/>
      <c r="U38" s="47"/>
      <c r="V38" s="48"/>
      <c r="W38" s="50"/>
      <c r="X38" s="49"/>
    </row>
    <row r="39" spans="1:24" s="4" customFormat="1" ht="30.95" customHeight="1" x14ac:dyDescent="0.2">
      <c r="A39" s="98"/>
      <c r="B39" s="99"/>
      <c r="C39" s="99"/>
      <c r="D39" s="100"/>
      <c r="E39" s="58"/>
      <c r="F39" s="58"/>
      <c r="G39" s="68" t="str">
        <f t="shared" si="0"/>
        <v/>
      </c>
      <c r="H39" s="66"/>
      <c r="I39" s="67"/>
      <c r="J39" s="67"/>
      <c r="K39" s="67"/>
      <c r="L39" s="67"/>
      <c r="M39" s="29"/>
      <c r="N39" s="30"/>
      <c r="O39" s="65" t="str">
        <f t="shared" si="1"/>
        <v/>
      </c>
      <c r="P39" s="60" t="str">
        <f t="shared" si="2"/>
        <v/>
      </c>
      <c r="Q39" s="46"/>
      <c r="R39" s="47"/>
      <c r="S39" s="47"/>
      <c r="T39" s="52"/>
      <c r="U39" s="47"/>
      <c r="V39" s="48"/>
      <c r="W39" s="50"/>
      <c r="X39" s="49"/>
    </row>
    <row r="40" spans="1:24" s="4" customFormat="1" ht="30.95" customHeight="1" x14ac:dyDescent="0.2">
      <c r="A40" s="98"/>
      <c r="B40" s="99"/>
      <c r="C40" s="99"/>
      <c r="D40" s="100"/>
      <c r="E40" s="58"/>
      <c r="F40" s="58"/>
      <c r="G40" s="68" t="str">
        <f t="shared" si="0"/>
        <v/>
      </c>
      <c r="H40" s="66"/>
      <c r="I40" s="67"/>
      <c r="J40" s="67"/>
      <c r="K40" s="67"/>
      <c r="L40" s="67"/>
      <c r="M40" s="29"/>
      <c r="N40" s="30"/>
      <c r="O40" s="65" t="str">
        <f t="shared" si="1"/>
        <v/>
      </c>
      <c r="P40" s="60" t="str">
        <f t="shared" si="2"/>
        <v/>
      </c>
      <c r="Q40" s="46"/>
      <c r="R40" s="47"/>
      <c r="S40" s="47"/>
      <c r="T40" s="52"/>
      <c r="U40" s="47"/>
      <c r="V40" s="48"/>
      <c r="W40" s="50"/>
      <c r="X40" s="49"/>
    </row>
    <row r="41" spans="1:24" s="4" customFormat="1" ht="30.95" customHeight="1" x14ac:dyDescent="0.2">
      <c r="A41" s="98"/>
      <c r="B41" s="99"/>
      <c r="C41" s="99"/>
      <c r="D41" s="100"/>
      <c r="E41" s="58"/>
      <c r="F41" s="58"/>
      <c r="G41" s="68" t="str">
        <f t="shared" si="0"/>
        <v/>
      </c>
      <c r="H41" s="66"/>
      <c r="I41" s="67"/>
      <c r="J41" s="67"/>
      <c r="K41" s="67"/>
      <c r="L41" s="67"/>
      <c r="M41" s="29"/>
      <c r="N41" s="30"/>
      <c r="O41" s="65" t="str">
        <f t="shared" si="1"/>
        <v/>
      </c>
      <c r="P41" s="60" t="str">
        <f t="shared" si="2"/>
        <v/>
      </c>
      <c r="Q41" s="46"/>
      <c r="R41" s="47"/>
      <c r="S41" s="47"/>
      <c r="T41" s="52"/>
      <c r="U41" s="47"/>
      <c r="V41" s="48"/>
      <c r="W41" s="50"/>
      <c r="X41" s="49"/>
    </row>
    <row r="42" spans="1:24" s="4" customFormat="1" ht="30.95" customHeight="1" x14ac:dyDescent="0.2">
      <c r="A42" s="98"/>
      <c r="B42" s="99"/>
      <c r="C42" s="99"/>
      <c r="D42" s="100"/>
      <c r="E42" s="58"/>
      <c r="F42" s="58"/>
      <c r="G42" s="68" t="str">
        <f t="shared" si="0"/>
        <v/>
      </c>
      <c r="H42" s="66"/>
      <c r="I42" s="67"/>
      <c r="J42" s="67"/>
      <c r="K42" s="67"/>
      <c r="L42" s="67"/>
      <c r="M42" s="29"/>
      <c r="N42" s="30"/>
      <c r="O42" s="65" t="str">
        <f t="shared" si="1"/>
        <v/>
      </c>
      <c r="P42" s="60" t="str">
        <f t="shared" si="2"/>
        <v/>
      </c>
      <c r="Q42" s="46"/>
      <c r="R42" s="47"/>
      <c r="S42" s="47"/>
      <c r="T42" s="52"/>
      <c r="U42" s="47"/>
      <c r="V42" s="48"/>
      <c r="W42" s="50"/>
      <c r="X42" s="49"/>
    </row>
    <row r="43" spans="1:24" s="4" customFormat="1" ht="30.95" customHeight="1" x14ac:dyDescent="0.2">
      <c r="A43" s="98"/>
      <c r="B43" s="99"/>
      <c r="C43" s="99"/>
      <c r="D43" s="100"/>
      <c r="E43" s="58"/>
      <c r="F43" s="58"/>
      <c r="G43" s="68" t="str">
        <f t="shared" si="0"/>
        <v/>
      </c>
      <c r="H43" s="66"/>
      <c r="I43" s="67"/>
      <c r="J43" s="67"/>
      <c r="K43" s="67"/>
      <c r="L43" s="67"/>
      <c r="M43" s="29"/>
      <c r="N43" s="30"/>
      <c r="O43" s="65" t="str">
        <f t="shared" si="1"/>
        <v/>
      </c>
      <c r="P43" s="60" t="str">
        <f t="shared" si="2"/>
        <v/>
      </c>
      <c r="Q43" s="46"/>
      <c r="R43" s="47"/>
      <c r="S43" s="47"/>
      <c r="T43" s="52"/>
      <c r="U43" s="47"/>
      <c r="V43" s="48"/>
      <c r="W43" s="50"/>
      <c r="X43" s="49"/>
    </row>
    <row r="44" spans="1:24" s="4" customFormat="1" ht="30.95" customHeight="1" x14ac:dyDescent="0.2">
      <c r="A44" s="98"/>
      <c r="B44" s="99"/>
      <c r="C44" s="99"/>
      <c r="D44" s="100"/>
      <c r="E44" s="58"/>
      <c r="F44" s="58"/>
      <c r="G44" s="68" t="str">
        <f t="shared" si="0"/>
        <v/>
      </c>
      <c r="H44" s="66"/>
      <c r="I44" s="67"/>
      <c r="J44" s="67"/>
      <c r="K44" s="67"/>
      <c r="L44" s="67"/>
      <c r="M44" s="29"/>
      <c r="N44" s="30"/>
      <c r="O44" s="65" t="str">
        <f t="shared" si="1"/>
        <v/>
      </c>
      <c r="P44" s="60" t="str">
        <f t="shared" si="2"/>
        <v/>
      </c>
      <c r="Q44" s="46"/>
      <c r="R44" s="47"/>
      <c r="S44" s="47"/>
      <c r="T44" s="52"/>
      <c r="U44" s="47"/>
      <c r="V44" s="48"/>
      <c r="W44" s="50"/>
      <c r="X44" s="49"/>
    </row>
    <row r="45" spans="1:24" s="4" customFormat="1" ht="30.95" customHeight="1" x14ac:dyDescent="0.2">
      <c r="A45" s="98"/>
      <c r="B45" s="99"/>
      <c r="C45" s="99"/>
      <c r="D45" s="100"/>
      <c r="E45" s="58"/>
      <c r="F45" s="58"/>
      <c r="G45" s="68" t="str">
        <f t="shared" si="0"/>
        <v/>
      </c>
      <c r="H45" s="66"/>
      <c r="I45" s="67"/>
      <c r="J45" s="67"/>
      <c r="K45" s="67"/>
      <c r="L45" s="67"/>
      <c r="M45" s="29"/>
      <c r="N45" s="30"/>
      <c r="O45" s="65" t="str">
        <f t="shared" si="1"/>
        <v/>
      </c>
      <c r="P45" s="60" t="str">
        <f t="shared" si="2"/>
        <v/>
      </c>
      <c r="Q45" s="46"/>
      <c r="R45" s="47"/>
      <c r="S45" s="47"/>
      <c r="T45" s="52"/>
      <c r="U45" s="47"/>
      <c r="V45" s="48"/>
      <c r="W45" s="50"/>
      <c r="X45" s="49"/>
    </row>
    <row r="46" spans="1:24" s="4" customFormat="1" ht="30.95" customHeight="1" x14ac:dyDescent="0.2">
      <c r="A46" s="98"/>
      <c r="B46" s="99"/>
      <c r="C46" s="99"/>
      <c r="D46" s="100"/>
      <c r="E46" s="58"/>
      <c r="F46" s="58"/>
      <c r="G46" s="68" t="str">
        <f t="shared" si="0"/>
        <v/>
      </c>
      <c r="H46" s="66"/>
      <c r="I46" s="67"/>
      <c r="J46" s="67"/>
      <c r="K46" s="67"/>
      <c r="L46" s="67"/>
      <c r="M46" s="29"/>
      <c r="N46" s="30"/>
      <c r="O46" s="65" t="str">
        <f t="shared" si="1"/>
        <v/>
      </c>
      <c r="P46" s="60" t="str">
        <f t="shared" si="2"/>
        <v/>
      </c>
      <c r="Q46" s="46"/>
      <c r="R46" s="47"/>
      <c r="S46" s="47"/>
      <c r="T46" s="52"/>
      <c r="U46" s="47"/>
      <c r="V46" s="48"/>
      <c r="W46" s="50"/>
      <c r="X46" s="49"/>
    </row>
    <row r="47" spans="1:24" s="4" customFormat="1" ht="30.95" customHeight="1" x14ac:dyDescent="0.2">
      <c r="A47" s="98"/>
      <c r="B47" s="99"/>
      <c r="C47" s="99"/>
      <c r="D47" s="100"/>
      <c r="E47" s="58"/>
      <c r="F47" s="58"/>
      <c r="G47" s="68" t="str">
        <f t="shared" si="0"/>
        <v/>
      </c>
      <c r="H47" s="66"/>
      <c r="I47" s="67"/>
      <c r="J47" s="67"/>
      <c r="K47" s="67"/>
      <c r="L47" s="67"/>
      <c r="M47" s="29"/>
      <c r="N47" s="30"/>
      <c r="O47" s="65" t="str">
        <f t="shared" si="1"/>
        <v/>
      </c>
      <c r="P47" s="60" t="str">
        <f t="shared" si="2"/>
        <v/>
      </c>
      <c r="Q47" s="46"/>
      <c r="R47" s="47"/>
      <c r="S47" s="47"/>
      <c r="T47" s="52"/>
      <c r="U47" s="47"/>
      <c r="V47" s="48"/>
      <c r="W47" s="50"/>
      <c r="X47" s="49"/>
    </row>
    <row r="48" spans="1:24" s="4" customFormat="1" ht="30.95" customHeight="1" x14ac:dyDescent="0.2">
      <c r="A48" s="98"/>
      <c r="B48" s="99"/>
      <c r="C48" s="99"/>
      <c r="D48" s="100"/>
      <c r="E48" s="58"/>
      <c r="F48" s="58"/>
      <c r="G48" s="68" t="str">
        <f t="shared" si="0"/>
        <v/>
      </c>
      <c r="H48" s="66"/>
      <c r="I48" s="67"/>
      <c r="J48" s="67"/>
      <c r="K48" s="67"/>
      <c r="L48" s="67"/>
      <c r="M48" s="29"/>
      <c r="N48" s="30"/>
      <c r="O48" s="65" t="str">
        <f t="shared" si="1"/>
        <v/>
      </c>
      <c r="P48" s="60" t="str">
        <f t="shared" si="2"/>
        <v/>
      </c>
      <c r="Q48" s="46"/>
      <c r="R48" s="47"/>
      <c r="S48" s="47"/>
      <c r="T48" s="52"/>
      <c r="U48" s="47"/>
      <c r="V48" s="48"/>
      <c r="W48" s="50"/>
      <c r="X48" s="49"/>
    </row>
    <row r="49" spans="1:24" s="4" customFormat="1" ht="30.95" customHeight="1" thickBot="1" x14ac:dyDescent="0.25">
      <c r="A49" s="98"/>
      <c r="B49" s="99"/>
      <c r="C49" s="99"/>
      <c r="D49" s="100"/>
      <c r="E49" s="58"/>
      <c r="F49" s="58"/>
      <c r="G49" s="68" t="str">
        <f t="shared" si="0"/>
        <v/>
      </c>
      <c r="H49" s="66"/>
      <c r="I49" s="67"/>
      <c r="J49" s="67"/>
      <c r="K49" s="67"/>
      <c r="L49" s="67"/>
      <c r="M49" s="29"/>
      <c r="N49" s="30"/>
      <c r="O49" s="65" t="str">
        <f t="shared" si="1"/>
        <v/>
      </c>
      <c r="P49" s="60" t="str">
        <f t="shared" si="2"/>
        <v/>
      </c>
      <c r="Q49" s="46"/>
      <c r="R49" s="47"/>
      <c r="S49" s="47"/>
      <c r="T49" s="52"/>
      <c r="U49" s="47"/>
      <c r="V49" s="48"/>
      <c r="W49" s="50"/>
      <c r="X49" s="49"/>
    </row>
    <row r="50" spans="1:24" s="4" customFormat="1" ht="30" customHeight="1" thickBot="1" x14ac:dyDescent="0.25">
      <c r="A50" s="117" t="s">
        <v>17</v>
      </c>
      <c r="B50" s="118"/>
      <c r="C50" s="118"/>
      <c r="D50" s="118"/>
      <c r="E50" s="20"/>
      <c r="F50" s="20"/>
      <c r="G50" s="20"/>
      <c r="H50" s="13"/>
      <c r="I50" s="14"/>
      <c r="J50" s="14"/>
      <c r="K50" s="14"/>
      <c r="L50" s="14"/>
      <c r="M50" s="31"/>
      <c r="N50" s="32"/>
      <c r="O50" s="41" t="str">
        <f>IF(SUM(O10:O49)&gt;0,SUM(O10:O49),"")</f>
        <v/>
      </c>
      <c r="P50" s="41" t="str">
        <f>IF(SUM(P10:P49)&gt;0,SUM(P10:P49),"")</f>
        <v/>
      </c>
      <c r="Q50" s="15"/>
      <c r="R50" s="16"/>
      <c r="S50" s="61"/>
      <c r="T50" s="53" t="s">
        <v>26</v>
      </c>
      <c r="U50" s="33"/>
      <c r="V50" s="37"/>
      <c r="W50" s="33"/>
      <c r="X50" s="34"/>
    </row>
    <row r="51" spans="1:24" ht="24.95" customHeight="1" thickBot="1" x14ac:dyDescent="0.35">
      <c r="A51" s="121"/>
      <c r="B51" s="122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8"/>
      <c r="P51" s="42"/>
      <c r="Q51" s="6"/>
      <c r="R51" s="5"/>
      <c r="S51" s="62"/>
      <c r="T51" s="54" t="s">
        <v>27</v>
      </c>
      <c r="U51" s="35"/>
      <c r="V51" s="38"/>
      <c r="W51" s="35"/>
      <c r="X51" s="36"/>
    </row>
    <row r="52" spans="1:24" ht="24.95" customHeight="1" x14ac:dyDescent="0.3">
      <c r="A52" s="123"/>
      <c r="B52" s="124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30"/>
      <c r="P52" s="43"/>
      <c r="Q52" s="95" t="s">
        <v>20</v>
      </c>
      <c r="R52" s="96"/>
      <c r="S52" s="96"/>
      <c r="T52" s="96"/>
      <c r="U52" s="96"/>
      <c r="V52" s="96"/>
      <c r="W52" s="96"/>
      <c r="X52" s="97"/>
    </row>
    <row r="53" spans="1:24" s="7" customFormat="1" ht="24.95" customHeight="1" thickBot="1" x14ac:dyDescent="0.25">
      <c r="A53" s="125" t="s">
        <v>10</v>
      </c>
      <c r="B53" s="126"/>
      <c r="C53" s="131" t="s">
        <v>25</v>
      </c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2"/>
      <c r="P53" s="40"/>
      <c r="Q53" s="101" t="s">
        <v>47</v>
      </c>
      <c r="R53" s="102"/>
      <c r="S53" s="102"/>
      <c r="T53" s="102"/>
      <c r="U53" s="102"/>
      <c r="V53" s="102"/>
      <c r="W53" s="102"/>
      <c r="X53" s="103"/>
    </row>
    <row r="54" spans="1:24" ht="24.6" customHeight="1" x14ac:dyDescent="0.2">
      <c r="A54" s="104" t="s">
        <v>16</v>
      </c>
      <c r="B54" s="105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20"/>
    </row>
    <row r="55" spans="1:24" ht="24.6" customHeight="1" x14ac:dyDescent="0.2">
      <c r="A55" s="106"/>
      <c r="B55" s="107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5"/>
    </row>
    <row r="56" spans="1:24" ht="24.6" customHeight="1" thickBot="1" x14ac:dyDescent="0.25">
      <c r="A56" s="108"/>
      <c r="B56" s="109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7"/>
    </row>
    <row r="57" spans="1:24" ht="24.6" customHeight="1" x14ac:dyDescent="0.2">
      <c r="A57" s="17"/>
      <c r="B57" s="1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55"/>
      <c r="U57" s="8"/>
      <c r="V57" s="8"/>
      <c r="W57" s="8"/>
      <c r="X57" s="23"/>
    </row>
    <row r="58" spans="1:24" s="9" customFormat="1" ht="15.95" customHeight="1" x14ac:dyDescent="0.2">
      <c r="A58" s="86" t="s">
        <v>43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7"/>
    </row>
    <row r="59" spans="1:24" s="9" customFormat="1" ht="15.95" customHeight="1" x14ac:dyDescent="0.2">
      <c r="A59" s="88" t="s">
        <v>21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</row>
  </sheetData>
  <mergeCells count="84">
    <mergeCell ref="X7:X9"/>
    <mergeCell ref="F8:F9"/>
    <mergeCell ref="A7:D9"/>
    <mergeCell ref="D3:L4"/>
    <mergeCell ref="M3:O4"/>
    <mergeCell ref="P3:U4"/>
    <mergeCell ref="H7:N7"/>
    <mergeCell ref="O7:O9"/>
    <mergeCell ref="V7:V9"/>
    <mergeCell ref="Q7:Q9"/>
    <mergeCell ref="W3:X3"/>
    <mergeCell ref="A3:C4"/>
    <mergeCell ref="R7:R9"/>
    <mergeCell ref="P7:P9"/>
    <mergeCell ref="D5:U5"/>
    <mergeCell ref="E8:E9"/>
    <mergeCell ref="S7:S9"/>
    <mergeCell ref="A22:D22"/>
    <mergeCell ref="A23:D23"/>
    <mergeCell ref="A14:D14"/>
    <mergeCell ref="A38:D38"/>
    <mergeCell ref="A28:D28"/>
    <mergeCell ref="G8:G9"/>
    <mergeCell ref="A15:D15"/>
    <mergeCell ref="A20:D20"/>
    <mergeCell ref="A21:D21"/>
    <mergeCell ref="A17:D17"/>
    <mergeCell ref="A18:D18"/>
    <mergeCell ref="A19:D19"/>
    <mergeCell ref="A16:D16"/>
    <mergeCell ref="A13:D13"/>
    <mergeCell ref="A11:D11"/>
    <mergeCell ref="A12:D12"/>
    <mergeCell ref="A10:D10"/>
    <mergeCell ref="C55:X55"/>
    <mergeCell ref="C56:X56"/>
    <mergeCell ref="A24:D24"/>
    <mergeCell ref="A25:D25"/>
    <mergeCell ref="A26:D26"/>
    <mergeCell ref="A27:D27"/>
    <mergeCell ref="A30:D30"/>
    <mergeCell ref="A29:D29"/>
    <mergeCell ref="A36:D36"/>
    <mergeCell ref="A32:D32"/>
    <mergeCell ref="A37:D37"/>
    <mergeCell ref="A35:D35"/>
    <mergeCell ref="A34:D34"/>
    <mergeCell ref="A33:D33"/>
    <mergeCell ref="A31:D31"/>
    <mergeCell ref="A50:D50"/>
    <mergeCell ref="C54:X54"/>
    <mergeCell ref="A49:D49"/>
    <mergeCell ref="A46:D46"/>
    <mergeCell ref="A47:D47"/>
    <mergeCell ref="A48:D48"/>
    <mergeCell ref="A51:B52"/>
    <mergeCell ref="A53:B53"/>
    <mergeCell ref="A43:D43"/>
    <mergeCell ref="A42:D42"/>
    <mergeCell ref="C51:O52"/>
    <mergeCell ref="C53:O53"/>
    <mergeCell ref="A45:D45"/>
    <mergeCell ref="U7:U9"/>
    <mergeCell ref="T7:T9"/>
    <mergeCell ref="A58:X58"/>
    <mergeCell ref="A59:X59"/>
    <mergeCell ref="A5:C5"/>
    <mergeCell ref="A6:C6"/>
    <mergeCell ref="Q52:X52"/>
    <mergeCell ref="A40:D40"/>
    <mergeCell ref="A39:D39"/>
    <mergeCell ref="A44:D44"/>
    <mergeCell ref="Q53:X53"/>
    <mergeCell ref="A54:B56"/>
    <mergeCell ref="W7:W9"/>
    <mergeCell ref="W6:X6"/>
    <mergeCell ref="W4:X5"/>
    <mergeCell ref="A41:D41"/>
    <mergeCell ref="V2:X2"/>
    <mergeCell ref="L1:O1"/>
    <mergeCell ref="R1:U1"/>
    <mergeCell ref="D6:U6"/>
    <mergeCell ref="H1:J1"/>
    <mergeCell ref="V3:V6"/>
  </mergeCells>
  <conditionalFormatting sqref="A11:D49 H11:N49">
    <cfRule type="cellIs" dxfId="12" priority="45" stopIfTrue="1" operator="equal">
      <formula>"Arbeitszeit prüfen!"</formula>
    </cfRule>
  </conditionalFormatting>
  <conditionalFormatting sqref="E10:E49">
    <cfRule type="cellIs" dxfId="9" priority="38" stopIfTrue="1" operator="equal">
      <formula>"Arbeitszeit prüfen!"</formula>
    </cfRule>
  </conditionalFormatting>
  <conditionalFormatting sqref="F11:F49">
    <cfRule type="cellIs" dxfId="6" priority="39" stopIfTrue="1" operator="equal">
      <formula>"Arbeitszeit prüfen!"</formula>
    </cfRule>
  </conditionalFormatting>
  <conditionalFormatting sqref="G10:G49">
    <cfRule type="cellIs" dxfId="5" priority="5" operator="equal">
      <formula>0</formula>
    </cfRule>
    <cfRule type="cellIs" dxfId="4" priority="6" stopIfTrue="1" operator="equal">
      <formula>"Arbeitszeit prüfen!"</formula>
    </cfRule>
  </conditionalFormatting>
  <conditionalFormatting sqref="O10:O49">
    <cfRule type="expression" dxfId="3" priority="21" stopIfTrue="1">
      <formula>$O$10="Arbeitszeit prüfen"</formula>
    </cfRule>
  </conditionalFormatting>
  <conditionalFormatting sqref="P10:P49">
    <cfRule type="cellIs" dxfId="2" priority="22" stopIfTrue="1" operator="greaterThan">
      <formula>10</formula>
    </cfRule>
  </conditionalFormatting>
  <conditionalFormatting sqref="V2 W7:W9">
    <cfRule type="cellIs" dxfId="1" priority="42" stopIfTrue="1" operator="equal">
      <formula>"Arbeitszeit prüfen!"</formula>
    </cfRule>
  </conditionalFormatting>
  <conditionalFormatting sqref="W50:W53 W56:W65536">
    <cfRule type="cellIs" dxfId="0" priority="1" stopIfTrue="1" operator="equal">
      <formula>"Arbeitszeit prüfen!"</formula>
    </cfRule>
  </conditionalFormatting>
  <dataValidations xWindow="258" yWindow="591" count="4">
    <dataValidation allowBlank="1" showInputMessage="1" showErrorMessage="1" prompt="Je Zelle nur eine SM-Auftragsnummer eintragen" sqref="V10:V49" xr:uid="{00000000-0002-0000-0000-000000000000}"/>
    <dataValidation allowBlank="1" showInputMessage="1" showErrorMessage="1" prompt="NA = Nahauslösung_x000a_tägliche Arbeitszeit mind. 8 Stunden auf Baustellen, Arbeitszeiten im Büro/Niederlassung wird nicht berücksichtigt._x000a__x000a_FA = Fernauslösung" sqref="R10:R49" xr:uid="{00000000-0002-0000-0000-000001000000}"/>
    <dataValidation allowBlank="1" showInputMessage="1" showErrorMessage="1" prompt="Je Zelle nur eine Ksch-Nr. eintragen" sqref="U10:U49" xr:uid="{00000000-0002-0000-0000-000002000000}"/>
    <dataValidation allowBlank="1" showInputMessage="1" showErrorMessage="1" error="Auf richtige Schreibweise achten und ob Uhrzeit in viertelstunden angegeben wurde_x000a__x000a_Bsp. 07:00 / 07:15 / 07:30 / 07:45" prompt="Eintragung der Stunden nur in viertelstunden Schritten._x000a_Uhrzeit mit Doppelpunkt eintragen._x000a_Bsp. 07:00" sqref="F10:F49" xr:uid="{32B44B7B-3092-4E36-A18D-4A8B310CCAE2}"/>
  </dataValidations>
  <pageMargins left="0.17" right="0.17" top="0.35433070866141736" bottom="0" header="0.38" footer="0.18"/>
  <pageSetup paperSize="9" scale="47" orientation="portrait" r:id="rId1"/>
  <headerFooter alignWithMargins="0">
    <oddFooter>&amp;C_x000D_&amp;1#&amp;"Calibri"&amp;10&amp;KFFFF00 C1-Internal Use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" stopIfTrue="1" id="{67081829-96E8-4BDB-8E30-112CCA1B6211}">
            <xm:f>IF($E10&lt;='Uhrzeiten - Zulage'!$A$25,$E10)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8" stopIfTrue="1" id="{6027137E-0ED7-48DA-AB9F-3FC533041132}">
            <xm:f>IF($E10&gt;='Uhrzeiten - Zulage'!$A$81,$E10)</xm:f>
            <x14:dxf>
              <fill>
                <patternFill>
                  <bgColor theme="4" tint="0.59996337778862885"/>
                </patternFill>
              </fill>
            </x14:dxf>
          </x14:cfRule>
          <xm:sqref>E10:E49</xm:sqref>
        </x14:conditionalFormatting>
        <x14:conditionalFormatting xmlns:xm="http://schemas.microsoft.com/office/excel/2006/main">
          <x14:cfRule type="expression" priority="25" stopIfTrue="1" id="{55141BA6-68AB-4DFA-B525-5499E1A58433}">
            <xm:f>IF($F10&lt;='Uhrzeiten - Zulage'!$A$25,$F10)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6" stopIfTrue="1" id="{B71EDDDE-4D82-4B51-B1E4-55FFDDDE40DB}">
            <xm:f>IF($F10&gt;='Uhrzeiten - Zulage'!$A$81,$F10)</xm:f>
            <x14:dxf>
              <fill>
                <patternFill>
                  <bgColor theme="4" tint="0.59996337778862885"/>
                </patternFill>
              </fill>
            </x14:dxf>
          </x14:cfRule>
          <xm:sqref>F10:F49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258" yWindow="591" count="2">
        <x14:dataValidation type="list" allowBlank="1" showInputMessage="1" showErrorMessage="1" error="Auf richtige Schreibweise achten und ob Uhrzeit in viertelstunden angegeben wurde_x000a__x000a_Bsp. 07:00 / 07:15 / 07:30 / 07:45" prompt="Eintragung der Stunden nur in viertelstunden Schritten._x000a_Uhrzeit mit Doppelpunkt eintragen._x000a_Bsp. 07:00" xr:uid="{00000000-0002-0000-0000-000003000000}">
          <x14:formula1>
            <xm:f>'Uhrzeiten - Zulage'!$A$1:$A$96</xm:f>
          </x14:formula1>
          <xm:sqref>E10:E49</xm:sqref>
        </x14:dataValidation>
        <x14:dataValidation type="list" allowBlank="1" showInputMessage="1" showErrorMessage="1" error="Eintragung nur vornehmen, wenn Nachtzulage zu berücksichtigen ist." prompt="Nachzulage = NZ" xr:uid="{C217BB88-2A4E-4E97-BEF0-CB838787AFE4}">
          <x14:formula1>
            <xm:f>'Uhrzeiten - Zulage'!$D$2</xm:f>
          </x14:formula1>
          <xm:sqref>S10:S49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"/>
  <sheetViews>
    <sheetView workbookViewId="0">
      <selection activeCell="A24" sqref="A24"/>
    </sheetView>
  </sheetViews>
  <sheetFormatPr baseColWidth="10" defaultRowHeight="12.75" x14ac:dyDescent="0.2"/>
  <cols>
    <col min="1" max="1" width="11.42578125" style="59"/>
    <col min="2" max="2" width="11.42578125" style="57"/>
  </cols>
  <sheetData>
    <row r="1" spans="1:4" x14ac:dyDescent="0.2">
      <c r="A1" s="59">
        <v>0</v>
      </c>
      <c r="B1" s="59"/>
      <c r="C1" s="64" t="s">
        <v>38</v>
      </c>
      <c r="D1" s="64"/>
    </row>
    <row r="2" spans="1:4" x14ac:dyDescent="0.2">
      <c r="A2" s="59">
        <v>1.0416666666666666E-2</v>
      </c>
      <c r="B2" s="59"/>
      <c r="C2" s="64" t="s">
        <v>40</v>
      </c>
      <c r="D2" s="64" t="s">
        <v>39</v>
      </c>
    </row>
    <row r="3" spans="1:4" x14ac:dyDescent="0.2">
      <c r="A3" s="59">
        <v>2.0833333333333332E-2</v>
      </c>
      <c r="B3" s="59"/>
      <c r="C3" s="64"/>
      <c r="D3" s="64"/>
    </row>
    <row r="4" spans="1:4" x14ac:dyDescent="0.2">
      <c r="A4" s="59">
        <v>3.125E-2</v>
      </c>
      <c r="B4" s="59"/>
      <c r="C4" s="64"/>
      <c r="D4" s="64"/>
    </row>
    <row r="5" spans="1:4" x14ac:dyDescent="0.2">
      <c r="A5" s="59">
        <v>4.1666666666666664E-2</v>
      </c>
      <c r="B5" s="59"/>
    </row>
    <row r="6" spans="1:4" x14ac:dyDescent="0.2">
      <c r="A6" s="59">
        <v>5.2083333333333336E-2</v>
      </c>
      <c r="B6" s="59"/>
    </row>
    <row r="7" spans="1:4" x14ac:dyDescent="0.2">
      <c r="A7" s="59">
        <v>6.25E-2</v>
      </c>
      <c r="B7" s="59"/>
    </row>
    <row r="8" spans="1:4" x14ac:dyDescent="0.2">
      <c r="A8" s="59">
        <v>7.2916666666666671E-2</v>
      </c>
      <c r="B8" s="59"/>
    </row>
    <row r="9" spans="1:4" x14ac:dyDescent="0.2">
      <c r="A9" s="59">
        <v>8.3333333333333329E-2</v>
      </c>
      <c r="B9" s="59"/>
    </row>
    <row r="10" spans="1:4" x14ac:dyDescent="0.2">
      <c r="A10" s="59">
        <v>9.375E-2</v>
      </c>
      <c r="B10" s="59"/>
    </row>
    <row r="11" spans="1:4" x14ac:dyDescent="0.2">
      <c r="A11" s="59">
        <v>0.10416666666666667</v>
      </c>
      <c r="B11" s="59"/>
    </row>
    <row r="12" spans="1:4" x14ac:dyDescent="0.2">
      <c r="A12" s="59">
        <v>0.11458333333333333</v>
      </c>
      <c r="B12" s="59"/>
    </row>
    <row r="13" spans="1:4" x14ac:dyDescent="0.2">
      <c r="A13" s="59">
        <v>0.125</v>
      </c>
      <c r="B13" s="59"/>
    </row>
    <row r="14" spans="1:4" x14ac:dyDescent="0.2">
      <c r="A14" s="59">
        <v>0.13541666666666666</v>
      </c>
      <c r="B14" s="59"/>
    </row>
    <row r="15" spans="1:4" x14ac:dyDescent="0.2">
      <c r="A15" s="59">
        <v>0.14583333333333334</v>
      </c>
      <c r="B15" s="59"/>
    </row>
    <row r="16" spans="1:4" x14ac:dyDescent="0.2">
      <c r="A16" s="59">
        <v>0.15625</v>
      </c>
      <c r="B16" s="59"/>
    </row>
    <row r="17" spans="1:2" x14ac:dyDescent="0.2">
      <c r="A17" s="59">
        <v>0.16666666666666666</v>
      </c>
      <c r="B17" s="59"/>
    </row>
    <row r="18" spans="1:2" x14ac:dyDescent="0.2">
      <c r="A18" s="59">
        <v>0.17708333333333334</v>
      </c>
      <c r="B18" s="59"/>
    </row>
    <row r="19" spans="1:2" x14ac:dyDescent="0.2">
      <c r="A19" s="59">
        <v>0.1875</v>
      </c>
      <c r="B19" s="59"/>
    </row>
    <row r="20" spans="1:2" x14ac:dyDescent="0.2">
      <c r="A20" s="59">
        <v>0.19791666666666666</v>
      </c>
      <c r="B20" s="59"/>
    </row>
    <row r="21" spans="1:2" x14ac:dyDescent="0.2">
      <c r="A21" s="59">
        <v>0.20833333333333334</v>
      </c>
      <c r="B21" s="59"/>
    </row>
    <row r="22" spans="1:2" x14ac:dyDescent="0.2">
      <c r="A22" s="59">
        <v>0.21875</v>
      </c>
      <c r="B22" s="59"/>
    </row>
    <row r="23" spans="1:2" x14ac:dyDescent="0.2">
      <c r="A23" s="59">
        <v>0.22916666666666666</v>
      </c>
      <c r="B23" s="59"/>
    </row>
    <row r="24" spans="1:2" x14ac:dyDescent="0.2">
      <c r="A24" s="59">
        <v>0.23958333333333334</v>
      </c>
      <c r="B24" s="59"/>
    </row>
    <row r="25" spans="1:2" x14ac:dyDescent="0.2">
      <c r="A25" s="59">
        <v>0.25</v>
      </c>
      <c r="B25" s="59"/>
    </row>
    <row r="26" spans="1:2" x14ac:dyDescent="0.2">
      <c r="A26" s="59">
        <v>0.26041666666666669</v>
      </c>
      <c r="B26" s="59"/>
    </row>
    <row r="27" spans="1:2" x14ac:dyDescent="0.2">
      <c r="A27" s="59">
        <v>0.27083333333333331</v>
      </c>
      <c r="B27" s="59"/>
    </row>
    <row r="28" spans="1:2" x14ac:dyDescent="0.2">
      <c r="A28" s="59">
        <v>0.28125</v>
      </c>
      <c r="B28" s="59"/>
    </row>
    <row r="29" spans="1:2" x14ac:dyDescent="0.2">
      <c r="A29" s="59">
        <v>0.29166666666666669</v>
      </c>
      <c r="B29" s="59"/>
    </row>
    <row r="30" spans="1:2" x14ac:dyDescent="0.2">
      <c r="A30" s="59">
        <v>0.30208333333333331</v>
      </c>
      <c r="B30" s="59"/>
    </row>
    <row r="31" spans="1:2" x14ac:dyDescent="0.2">
      <c r="A31" s="59">
        <v>0.3125</v>
      </c>
      <c r="B31" s="59"/>
    </row>
    <row r="32" spans="1:2" x14ac:dyDescent="0.2">
      <c r="A32" s="59">
        <v>0.32291666666666669</v>
      </c>
      <c r="B32" s="59"/>
    </row>
    <row r="33" spans="1:2" x14ac:dyDescent="0.2">
      <c r="A33" s="59">
        <v>0.33333333333333331</v>
      </c>
      <c r="B33" s="59"/>
    </row>
    <row r="34" spans="1:2" x14ac:dyDescent="0.2">
      <c r="A34" s="59">
        <v>0.34375</v>
      </c>
      <c r="B34" s="59"/>
    </row>
    <row r="35" spans="1:2" x14ac:dyDescent="0.2">
      <c r="A35" s="59">
        <v>0.35416666666666669</v>
      </c>
      <c r="B35" s="59"/>
    </row>
    <row r="36" spans="1:2" x14ac:dyDescent="0.2">
      <c r="A36" s="59">
        <v>0.36458333333333331</v>
      </c>
      <c r="B36" s="59"/>
    </row>
    <row r="37" spans="1:2" x14ac:dyDescent="0.2">
      <c r="A37" s="59">
        <v>0.375</v>
      </c>
      <c r="B37" s="59"/>
    </row>
    <row r="38" spans="1:2" x14ac:dyDescent="0.2">
      <c r="A38" s="59">
        <v>0.38541666666666669</v>
      </c>
      <c r="B38" s="59"/>
    </row>
    <row r="39" spans="1:2" x14ac:dyDescent="0.2">
      <c r="A39" s="59">
        <v>0.39583333333333331</v>
      </c>
      <c r="B39" s="59"/>
    </row>
    <row r="40" spans="1:2" x14ac:dyDescent="0.2">
      <c r="A40" s="59">
        <v>0.40625</v>
      </c>
      <c r="B40" s="59"/>
    </row>
    <row r="41" spans="1:2" x14ac:dyDescent="0.2">
      <c r="A41" s="59">
        <v>0.41666666666666669</v>
      </c>
      <c r="B41" s="59"/>
    </row>
    <row r="42" spans="1:2" x14ac:dyDescent="0.2">
      <c r="A42" s="59">
        <v>0.42708333333333331</v>
      </c>
      <c r="B42" s="59"/>
    </row>
    <row r="43" spans="1:2" x14ac:dyDescent="0.2">
      <c r="A43" s="59">
        <v>0.4375</v>
      </c>
      <c r="B43" s="59"/>
    </row>
    <row r="44" spans="1:2" x14ac:dyDescent="0.2">
      <c r="A44" s="59">
        <v>0.44791666666666669</v>
      </c>
      <c r="B44" s="59"/>
    </row>
    <row r="45" spans="1:2" x14ac:dyDescent="0.2">
      <c r="A45" s="59">
        <v>0.45833333333333331</v>
      </c>
      <c r="B45" s="59"/>
    </row>
    <row r="46" spans="1:2" x14ac:dyDescent="0.2">
      <c r="A46" s="59">
        <v>0.46875</v>
      </c>
      <c r="B46" s="59"/>
    </row>
    <row r="47" spans="1:2" x14ac:dyDescent="0.2">
      <c r="A47" s="59">
        <v>0.47916666666666669</v>
      </c>
      <c r="B47" s="59"/>
    </row>
    <row r="48" spans="1:2" x14ac:dyDescent="0.2">
      <c r="A48" s="59">
        <v>0.48958333333333331</v>
      </c>
      <c r="B48" s="59"/>
    </row>
    <row r="49" spans="1:2" x14ac:dyDescent="0.2">
      <c r="A49" s="59">
        <v>0.5</v>
      </c>
      <c r="B49" s="59"/>
    </row>
    <row r="50" spans="1:2" x14ac:dyDescent="0.2">
      <c r="A50" s="59">
        <v>0.51041666666666663</v>
      </c>
      <c r="B50" s="59"/>
    </row>
    <row r="51" spans="1:2" x14ac:dyDescent="0.2">
      <c r="A51" s="59">
        <v>0.52083333333333337</v>
      </c>
      <c r="B51" s="59"/>
    </row>
    <row r="52" spans="1:2" x14ac:dyDescent="0.2">
      <c r="A52" s="59">
        <v>0.53125</v>
      </c>
      <c r="B52" s="59"/>
    </row>
    <row r="53" spans="1:2" x14ac:dyDescent="0.2">
      <c r="A53" s="59">
        <v>0.54166666666666663</v>
      </c>
      <c r="B53" s="59"/>
    </row>
    <row r="54" spans="1:2" x14ac:dyDescent="0.2">
      <c r="A54" s="59">
        <v>0.55208333333333337</v>
      </c>
      <c r="B54" s="59"/>
    </row>
    <row r="55" spans="1:2" x14ac:dyDescent="0.2">
      <c r="A55" s="59">
        <v>0.5625</v>
      </c>
      <c r="B55" s="59"/>
    </row>
    <row r="56" spans="1:2" x14ac:dyDescent="0.2">
      <c r="A56" s="59">
        <v>0.57291666666666663</v>
      </c>
      <c r="B56" s="59"/>
    </row>
    <row r="57" spans="1:2" x14ac:dyDescent="0.2">
      <c r="A57" s="59">
        <v>0.58333333333333337</v>
      </c>
      <c r="B57" s="59"/>
    </row>
    <row r="58" spans="1:2" x14ac:dyDescent="0.2">
      <c r="A58" s="59">
        <v>0.59375</v>
      </c>
      <c r="B58" s="59"/>
    </row>
    <row r="59" spans="1:2" x14ac:dyDescent="0.2">
      <c r="A59" s="59">
        <v>0.60416666666666663</v>
      </c>
      <c r="B59" s="59"/>
    </row>
    <row r="60" spans="1:2" x14ac:dyDescent="0.2">
      <c r="A60" s="59">
        <v>0.61458333333333337</v>
      </c>
      <c r="B60" s="59"/>
    </row>
    <row r="61" spans="1:2" x14ac:dyDescent="0.2">
      <c r="A61" s="59">
        <v>0.625</v>
      </c>
      <c r="B61" s="59"/>
    </row>
    <row r="62" spans="1:2" x14ac:dyDescent="0.2">
      <c r="A62" s="59">
        <v>0.63541666666666663</v>
      </c>
      <c r="B62" s="59"/>
    </row>
    <row r="63" spans="1:2" x14ac:dyDescent="0.2">
      <c r="A63" s="59">
        <v>0.64583333333333337</v>
      </c>
      <c r="B63" s="59"/>
    </row>
    <row r="64" spans="1:2" x14ac:dyDescent="0.2">
      <c r="A64" s="59">
        <v>0.65625</v>
      </c>
      <c r="B64" s="59"/>
    </row>
    <row r="65" spans="1:2" x14ac:dyDescent="0.2">
      <c r="A65" s="59">
        <v>0.66666666666666663</v>
      </c>
      <c r="B65" s="59"/>
    </row>
    <row r="66" spans="1:2" x14ac:dyDescent="0.2">
      <c r="A66" s="59">
        <v>0.67708333333333337</v>
      </c>
      <c r="B66" s="59"/>
    </row>
    <row r="67" spans="1:2" x14ac:dyDescent="0.2">
      <c r="A67" s="59">
        <v>0.6875</v>
      </c>
      <c r="B67" s="59"/>
    </row>
    <row r="68" spans="1:2" x14ac:dyDescent="0.2">
      <c r="A68" s="59">
        <v>0.69791666666666663</v>
      </c>
      <c r="B68" s="59"/>
    </row>
    <row r="69" spans="1:2" x14ac:dyDescent="0.2">
      <c r="A69" s="59">
        <v>0.70833333333333337</v>
      </c>
      <c r="B69" s="59"/>
    </row>
    <row r="70" spans="1:2" x14ac:dyDescent="0.2">
      <c r="A70" s="59">
        <v>0.71875</v>
      </c>
      <c r="B70" s="59"/>
    </row>
    <row r="71" spans="1:2" x14ac:dyDescent="0.2">
      <c r="A71" s="59">
        <v>0.72916666666666663</v>
      </c>
      <c r="B71" s="59"/>
    </row>
    <row r="72" spans="1:2" x14ac:dyDescent="0.2">
      <c r="A72" s="59">
        <v>0.73958333333333337</v>
      </c>
      <c r="B72" s="59"/>
    </row>
    <row r="73" spans="1:2" x14ac:dyDescent="0.2">
      <c r="A73" s="59">
        <v>0.75</v>
      </c>
      <c r="B73" s="59"/>
    </row>
    <row r="74" spans="1:2" x14ac:dyDescent="0.2">
      <c r="A74" s="59">
        <v>0.76041666666666663</v>
      </c>
      <c r="B74" s="59"/>
    </row>
    <row r="75" spans="1:2" x14ac:dyDescent="0.2">
      <c r="A75" s="59">
        <v>0.77083333333333337</v>
      </c>
      <c r="B75" s="59"/>
    </row>
    <row r="76" spans="1:2" x14ac:dyDescent="0.2">
      <c r="A76" s="59">
        <v>0.78125</v>
      </c>
      <c r="B76" s="59"/>
    </row>
    <row r="77" spans="1:2" x14ac:dyDescent="0.2">
      <c r="A77" s="59">
        <v>0.79166666666666663</v>
      </c>
      <c r="B77" s="59"/>
    </row>
    <row r="78" spans="1:2" x14ac:dyDescent="0.2">
      <c r="A78" s="59">
        <v>0.80208333333333337</v>
      </c>
      <c r="B78" s="59"/>
    </row>
    <row r="79" spans="1:2" x14ac:dyDescent="0.2">
      <c r="A79" s="59">
        <v>0.8125</v>
      </c>
      <c r="B79" s="59"/>
    </row>
    <row r="80" spans="1:2" x14ac:dyDescent="0.2">
      <c r="A80" s="59">
        <v>0.82291666666666663</v>
      </c>
      <c r="B80" s="59"/>
    </row>
    <row r="81" spans="1:2" x14ac:dyDescent="0.2">
      <c r="A81" s="59">
        <v>0.83333333333333337</v>
      </c>
      <c r="B81" s="59"/>
    </row>
    <row r="82" spans="1:2" x14ac:dyDescent="0.2">
      <c r="A82" s="59">
        <v>0.84375</v>
      </c>
      <c r="B82" s="59"/>
    </row>
    <row r="83" spans="1:2" x14ac:dyDescent="0.2">
      <c r="A83" s="59">
        <v>0.85416666666666663</v>
      </c>
      <c r="B83" s="59"/>
    </row>
    <row r="84" spans="1:2" x14ac:dyDescent="0.2">
      <c r="A84" s="59">
        <v>0.86458333333333337</v>
      </c>
      <c r="B84" s="59"/>
    </row>
    <row r="85" spans="1:2" x14ac:dyDescent="0.2">
      <c r="A85" s="59">
        <v>0.875</v>
      </c>
      <c r="B85" s="59"/>
    </row>
    <row r="86" spans="1:2" x14ac:dyDescent="0.2">
      <c r="A86" s="59">
        <v>0.88541666666666663</v>
      </c>
      <c r="B86" s="59"/>
    </row>
    <row r="87" spans="1:2" x14ac:dyDescent="0.2">
      <c r="A87" s="59">
        <v>0.89583333333333337</v>
      </c>
      <c r="B87" s="59"/>
    </row>
    <row r="88" spans="1:2" x14ac:dyDescent="0.2">
      <c r="A88" s="59">
        <v>0.90625</v>
      </c>
      <c r="B88" s="59"/>
    </row>
    <row r="89" spans="1:2" x14ac:dyDescent="0.2">
      <c r="A89" s="59">
        <v>0.91666666666666663</v>
      </c>
      <c r="B89" s="59"/>
    </row>
    <row r="90" spans="1:2" x14ac:dyDescent="0.2">
      <c r="A90" s="59">
        <v>0.92708333333333337</v>
      </c>
      <c r="B90" s="59"/>
    </row>
    <row r="91" spans="1:2" x14ac:dyDescent="0.2">
      <c r="A91" s="59">
        <v>0.9375</v>
      </c>
      <c r="B91" s="59"/>
    </row>
    <row r="92" spans="1:2" x14ac:dyDescent="0.2">
      <c r="A92" s="59">
        <v>0.94791666666666663</v>
      </c>
      <c r="B92" s="59"/>
    </row>
    <row r="93" spans="1:2" x14ac:dyDescent="0.2">
      <c r="A93" s="59">
        <v>0.95833333333333337</v>
      </c>
      <c r="B93" s="59"/>
    </row>
    <row r="94" spans="1:2" x14ac:dyDescent="0.2">
      <c r="A94" s="59">
        <v>0.96875</v>
      </c>
      <c r="B94" s="59"/>
    </row>
    <row r="95" spans="1:2" x14ac:dyDescent="0.2">
      <c r="A95" s="59">
        <v>0.97916666666666663</v>
      </c>
      <c r="B95" s="59"/>
    </row>
    <row r="96" spans="1:2" x14ac:dyDescent="0.2">
      <c r="A96" s="59">
        <v>0.98958333333333337</v>
      </c>
      <c r="B96" s="59"/>
    </row>
  </sheetData>
  <pageMargins left="0.7" right="0.7" top="0.78740157499999996" bottom="0.78740157499999996" header="0.3" footer="0.3"/>
  <pageSetup paperSize="9" orientation="portrait" r:id="rId1"/>
  <headerFooter>
    <oddFooter>&amp;C_x000D_&amp;1#&amp;"Calibri"&amp;10&amp;KFFFF00 C1-Internal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Wochenbericht</vt:lpstr>
      <vt:lpstr>Uhrzeiten - Zulage</vt:lpstr>
      <vt:lpstr>Wochenbericht!Druckbereich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Spörlein</dc:creator>
  <cp:lastModifiedBy>HEINRICH Jessica</cp:lastModifiedBy>
  <cp:lastPrinted>2026-01-30T08:24:14Z</cp:lastPrinted>
  <dcterms:created xsi:type="dcterms:W3CDTF">2002-11-04T18:52:31Z</dcterms:created>
  <dcterms:modified xsi:type="dcterms:W3CDTF">2026-01-30T08:24:21Z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cb918d-15c4-41b0-8e50-7fa04dbb9576_Enabled">
    <vt:lpwstr>true</vt:lpwstr>
  </property>
  <property fmtid="{D5CDD505-2E9C-101B-9397-08002B2CF9AE}" pid="3" name="MSIP_Label_fccb918d-15c4-41b0-8e50-7fa04dbb9576_SetDate">
    <vt:lpwstr>2024-05-08T11:40:45Z</vt:lpwstr>
  </property>
  <property fmtid="{D5CDD505-2E9C-101B-9397-08002B2CF9AE}" pid="4" name="MSIP_Label_fccb918d-15c4-41b0-8e50-7fa04dbb9576_Method">
    <vt:lpwstr>Standard</vt:lpwstr>
  </property>
  <property fmtid="{D5CDD505-2E9C-101B-9397-08002B2CF9AE}" pid="5" name="MSIP_Label_fccb918d-15c4-41b0-8e50-7fa04dbb9576_Name">
    <vt:lpwstr>EN - C1-Internal Use</vt:lpwstr>
  </property>
  <property fmtid="{D5CDD505-2E9C-101B-9397-08002B2CF9AE}" pid="6" name="MSIP_Label_fccb918d-15c4-41b0-8e50-7fa04dbb9576_SiteId">
    <vt:lpwstr>cae7d061-08f3-40dd-80c3-3c0b8889224a</vt:lpwstr>
  </property>
  <property fmtid="{D5CDD505-2E9C-101B-9397-08002B2CF9AE}" pid="7" name="MSIP_Label_fccb918d-15c4-41b0-8e50-7fa04dbb9576_ActionId">
    <vt:lpwstr>3129a548-867f-4192-a505-2fe1f63de702</vt:lpwstr>
  </property>
  <property fmtid="{D5CDD505-2E9C-101B-9397-08002B2CF9AE}" pid="8" name="MSIP_Label_fccb918d-15c4-41b0-8e50-7fa04dbb9576_ContentBits">
    <vt:lpwstr>2</vt:lpwstr>
  </property>
</Properties>
</file>