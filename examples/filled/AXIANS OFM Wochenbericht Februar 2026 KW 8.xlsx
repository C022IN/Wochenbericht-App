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chenbericht"/>
    <sheet r:id="rId2" sheetId="2" name="Uhrzeiten - Zulage"/>
  </sheets>
  <definedNames>
    <definedName name="_xlnm.Print_Area" localSheetId="0">Wochenbericht!$A$1:$X$59</definedName>
  </definedNames>
  <calcPr fullCalcOnLoad="1"/>
</workbook>
</file>

<file path=xl/sharedStrings.xml><?xml version="1.0" encoding="utf-8"?>
<sst xmlns="http://schemas.openxmlformats.org/spreadsheetml/2006/main" count="169" uniqueCount="77">
  <si>
    <t>Zulage</t>
  </si>
  <si>
    <t>Nacht</t>
  </si>
  <si>
    <t>NZ</t>
  </si>
  <si>
    <t>Wochenbericht</t>
  </si>
  <si>
    <t>KW</t>
  </si>
  <si>
    <t>von:</t>
  </si>
  <si>
    <t>16.02.2026</t>
  </si>
  <si>
    <t>bis:</t>
  </si>
  <si>
    <t xml:space="preserve">Axians OFM GmbH &amp; Co. KG </t>
  </si>
  <si>
    <t xml:space="preserve"> Name   </t>
  </si>
  <si>
    <t>Anjeo</t>
  </si>
  <si>
    <t>Vorname</t>
  </si>
  <si>
    <t>Collin Ambani</t>
  </si>
  <si>
    <r>
      <t xml:space="preserve"> </t>
    </r>
    <r>
      <rPr>
        <b/>
        <sz val="12"/>
        <color theme="1"/>
        <rFont val="Calibri"/>
        <family val="2"/>
        <scheme val="minor"/>
      </rPr>
      <t>S</t>
    </r>
    <r>
      <rPr>
        <sz val="12"/>
        <color theme="1"/>
        <rFont val="Calibri"/>
        <family val="2"/>
        <scheme val="minor"/>
      </rPr>
      <t xml:space="preserve"> = </t>
    </r>
    <r>
      <rPr>
        <sz val="10"/>
        <color theme="1"/>
        <rFont val="Calibri"/>
        <family val="2"/>
        <scheme val="minor"/>
      </rPr>
      <t>Stundenlohn</t>
    </r>
    <r>
      <rPr>
        <sz val="12"/>
        <color theme="1"/>
        <rFont val="Calibri"/>
        <family val="2"/>
        <scheme val="minor"/>
      </rPr>
      <t xml:space="preserve">
 </t>
    </r>
    <r>
      <rPr>
        <b/>
        <sz val="12"/>
        <color theme="1"/>
        <rFont val="Calibri"/>
        <family val="2"/>
        <scheme val="minor"/>
      </rPr>
      <t xml:space="preserve">L </t>
    </r>
    <r>
      <rPr>
        <sz val="12"/>
        <color theme="1"/>
        <rFont val="Calibri"/>
        <family val="2"/>
        <scheme val="minor"/>
      </rPr>
      <t xml:space="preserve">= </t>
    </r>
    <r>
      <rPr>
        <sz val="10"/>
        <color theme="1"/>
        <rFont val="Calibri"/>
        <family val="2"/>
        <scheme val="minor"/>
      </rPr>
      <t xml:space="preserve">Leistunglohn </t>
    </r>
    <r>
      <rPr>
        <sz val="8"/>
        <color theme="1"/>
        <rFont val="Calibri"/>
        <family val="2"/>
        <scheme val="minor"/>
      </rPr>
      <t>(Akkord)</t>
    </r>
    <r>
      <rPr>
        <sz val="12"/>
        <color theme="1"/>
        <rFont val="Calibri"/>
        <family val="2"/>
        <scheme val="minor"/>
      </rPr>
      <t xml:space="preserve">
 </t>
    </r>
    <r>
      <rPr>
        <b/>
        <sz val="12"/>
        <color theme="1"/>
        <rFont val="Calibri"/>
        <family val="2"/>
        <scheme val="minor"/>
      </rPr>
      <t xml:space="preserve">NA </t>
    </r>
    <r>
      <rPr>
        <sz val="12"/>
        <color theme="1"/>
        <rFont val="Calibri"/>
        <family val="2"/>
        <scheme val="minor"/>
      </rPr>
      <t xml:space="preserve">= </t>
    </r>
    <r>
      <rPr>
        <sz val="10"/>
        <color theme="1"/>
        <rFont val="Calibri"/>
        <family val="2"/>
        <scheme val="minor"/>
      </rPr>
      <t>Nahauslösung</t>
    </r>
    <r>
      <rPr>
        <sz val="12"/>
        <color theme="1"/>
        <rFont val="Calibri"/>
        <family val="2"/>
        <scheme val="minor"/>
      </rPr>
      <t xml:space="preserve">
 </t>
    </r>
    <r>
      <rPr>
        <b/>
        <sz val="12"/>
        <color theme="1"/>
        <rFont val="Calibri"/>
        <family val="2"/>
        <scheme val="minor"/>
      </rPr>
      <t>FA</t>
    </r>
    <r>
      <rPr>
        <sz val="12"/>
        <color theme="1"/>
        <rFont val="Calibri"/>
        <family val="2"/>
        <scheme val="minor"/>
      </rPr>
      <t xml:space="preserve"> =</t>
    </r>
    <r>
      <rPr>
        <sz val="10"/>
        <color theme="1"/>
        <rFont val="Calibri"/>
        <family val="2"/>
        <scheme val="minor"/>
      </rPr>
      <t xml:space="preserve"> Fernauslösung</t>
    </r>
    <r>
      <rPr>
        <sz val="12"/>
        <color theme="1"/>
        <rFont val="Calibri"/>
        <family val="2"/>
        <scheme val="minor"/>
      </rPr>
      <t xml:space="preserve">
 </t>
    </r>
    <r>
      <rPr>
        <b/>
        <sz val="12"/>
        <color theme="1"/>
        <rFont val="Calibri"/>
        <family val="2"/>
        <scheme val="minor"/>
      </rPr>
      <t>K</t>
    </r>
    <r>
      <rPr>
        <sz val="12"/>
        <color theme="1"/>
        <rFont val="Calibri"/>
        <family val="2"/>
        <scheme val="minor"/>
      </rPr>
      <t xml:space="preserve"> = </t>
    </r>
    <r>
      <rPr>
        <sz val="10"/>
        <color theme="1"/>
        <rFont val="Calibri"/>
        <family val="2"/>
        <scheme val="minor"/>
      </rPr>
      <t xml:space="preserve">Krank   </t>
    </r>
    <r>
      <rPr>
        <sz val="12"/>
        <color theme="1"/>
        <rFont val="Calibri"/>
        <family val="2"/>
        <scheme val="minor"/>
      </rPr>
      <t xml:space="preserve">
 </t>
    </r>
    <r>
      <rPr>
        <b/>
        <sz val="12"/>
        <color theme="1"/>
        <rFont val="Calibri"/>
        <family val="2"/>
        <scheme val="minor"/>
      </rPr>
      <t xml:space="preserve">U </t>
    </r>
    <r>
      <rPr>
        <sz val="12"/>
        <color theme="1"/>
        <rFont val="Calibri"/>
        <family val="2"/>
        <scheme val="minor"/>
      </rPr>
      <t xml:space="preserve">= </t>
    </r>
    <r>
      <rPr>
        <sz val="10"/>
        <color theme="1"/>
        <rFont val="Calibri"/>
        <family val="2"/>
        <scheme val="minor"/>
      </rPr>
      <t>Urlaub</t>
    </r>
    <r>
      <rPr>
        <sz val="12"/>
        <color theme="1"/>
        <rFont val="Calibri"/>
        <family val="2"/>
        <scheme val="minor"/>
      </rPr>
      <t xml:space="preserve">
 </t>
    </r>
    <r>
      <rPr>
        <b/>
        <sz val="12"/>
        <color theme="1"/>
        <rFont val="Calibri"/>
        <family val="2"/>
        <scheme val="minor"/>
      </rPr>
      <t>F</t>
    </r>
    <r>
      <rPr>
        <sz val="12"/>
        <color theme="1"/>
        <rFont val="Calibri"/>
        <family val="2"/>
        <scheme val="minor"/>
      </rPr>
      <t xml:space="preserve"> = </t>
    </r>
    <r>
      <rPr>
        <sz val="10"/>
        <color theme="1"/>
        <rFont val="Calibri"/>
        <family val="2"/>
        <scheme val="minor"/>
      </rPr>
      <t>Feiertag</t>
    </r>
    <r>
      <rPr>
        <sz val="12"/>
        <color theme="1"/>
        <rFont val="Calibri"/>
        <family val="2"/>
        <scheme val="minor"/>
      </rPr>
      <t xml:space="preserve">
 </t>
    </r>
    <r>
      <rPr>
        <b/>
        <sz val="12"/>
        <color theme="1"/>
        <rFont val="Calibri"/>
        <family val="2"/>
        <scheme val="minor"/>
      </rPr>
      <t>UB</t>
    </r>
    <r>
      <rPr>
        <sz val="12"/>
        <color theme="1"/>
        <rFont val="Calibri"/>
        <family val="2"/>
        <scheme val="minor"/>
      </rPr>
      <t xml:space="preserve"> = </t>
    </r>
    <r>
      <rPr>
        <sz val="10"/>
        <color theme="1"/>
        <rFont val="Calibri"/>
        <family val="2"/>
        <scheme val="minor"/>
      </rPr>
      <t>unbezahlt</t>
    </r>
  </si>
  <si>
    <r>
      <t xml:space="preserve">gesetzliche
</t>
    </r>
    <r>
      <rPr>
        <b/>
        <sz val="10"/>
        <color theme="1"/>
        <rFont val="Calibri"/>
        <family val="2"/>
        <scheme val="minor"/>
      </rPr>
      <t>Mindestpausen bei Arbeitszeiten von:</t>
    </r>
  </si>
  <si>
    <r>
      <t xml:space="preserve">6 Stunden - 9 Stunden
</t>
    </r>
    <r>
      <rPr>
        <b/>
        <sz val="10"/>
        <color theme="1"/>
        <rFont val="Calibri"/>
        <family val="2"/>
        <scheme val="minor"/>
      </rPr>
      <t xml:space="preserve">Pause: 30 Minuten
</t>
    </r>
    <r>
      <rPr>
        <sz val="10"/>
        <color theme="1"/>
        <rFont val="Calibri"/>
        <family val="2"/>
        <scheme val="minor"/>
      </rPr>
      <t>9 Stunden - 10 Stunden</t>
    </r>
    <r>
      <rPr>
        <b/>
        <sz val="10"/>
        <color theme="1"/>
        <rFont val="Calibri"/>
        <family val="2"/>
        <scheme val="minor"/>
      </rPr>
      <t xml:space="preserve">
Pause: 45 Minuten</t>
    </r>
  </si>
  <si>
    <t xml:space="preserve">Arbeitsstätte/Projekte:   </t>
  </si>
  <si>
    <t>PTI 21</t>
  </si>
  <si>
    <t xml:space="preserve">Art der Arbeit:   </t>
  </si>
  <si>
    <t>Freileitungsbau</t>
  </si>
  <si>
    <t>Höchstzulässige Arbeitszeit
max. 10 Stunden / Tag</t>
  </si>
  <si>
    <t xml:space="preserve">   Arbeitsstelle 
   Name, Ort:
</t>
  </si>
  <si>
    <t>Kalendertage, Datum:</t>
  </si>
  <si>
    <t>Gesamt
Std.
inkl. Pause</t>
  </si>
  <si>
    <t>Arbeitszeit
abzgl. Pause</t>
  </si>
  <si>
    <r>
      <t xml:space="preserve">        Lohn 
</t>
    </r>
    <r>
      <rPr>
        <b/>
        <sz val="12"/>
        <color theme="1"/>
        <rFont val="Calibri"/>
        <family val="2"/>
        <scheme val="minor"/>
      </rPr>
      <t xml:space="preserve">S </t>
    </r>
    <r>
      <rPr>
        <b/>
        <sz val="7"/>
        <color theme="1"/>
        <rFont val="Calibri"/>
        <family val="2"/>
        <scheme val="minor"/>
      </rPr>
      <t>= Std</t>
    </r>
    <r>
      <rPr>
        <b/>
        <sz val="12"/>
        <color theme="1"/>
        <rFont val="Calibri"/>
        <family val="2"/>
        <scheme val="minor"/>
      </rPr>
      <t xml:space="preserve">
L</t>
    </r>
    <r>
      <rPr>
        <b/>
        <sz val="7"/>
        <color theme="1"/>
        <rFont val="Calibri"/>
        <family val="2"/>
        <scheme val="minor"/>
      </rPr>
      <t xml:space="preserve"> = Akkord</t>
    </r>
  </si>
  <si>
    <r>
      <t xml:space="preserve">Aus-
löse
</t>
    </r>
    <r>
      <rPr>
        <b/>
        <sz val="11"/>
        <color theme="1"/>
        <rFont val="Calibri"/>
        <family val="2"/>
        <scheme val="minor"/>
      </rPr>
      <t>NA
FA</t>
    </r>
  </si>
  <si>
    <t>Zulage
NZ</t>
  </si>
  <si>
    <t xml:space="preserve"> Projektnummer</t>
  </si>
  <si>
    <r>
      <t xml:space="preserve">Nur bei Kabel- schachtsanierung
</t>
    </r>
    <r>
      <rPr>
        <b/>
        <sz val="10"/>
        <color theme="1"/>
        <rFont val="Calibri"/>
        <family val="2"/>
        <scheme val="minor"/>
      </rPr>
      <t>Kabel schachtnr.</t>
    </r>
    <r>
      <rPr>
        <b/>
        <sz val="10"/>
        <color theme="1"/>
        <rFont val="Calibri"/>
        <family val="2"/>
        <scheme val="minor"/>
      </rPr>
      <t xml:space="preserve">
Blatt-Nr.</t>
    </r>
  </si>
  <si>
    <t>SM-Nr. (Telekom)
Blatt-Nr. (Geothermie)</t>
  </si>
  <si>
    <r>
      <t/>
    </r>
    <r>
      <rPr>
        <b/>
        <u/>
        <sz val="10"/>
        <color rgb="FFff0000"/>
        <rFont val="Calibri"/>
        <family val="2"/>
        <scheme val="minor"/>
      </rPr>
      <t>WICHTIG</t>
    </r>
    <r>
      <rPr>
        <b/>
        <sz val="10"/>
        <color theme="1"/>
        <rFont val="Calibri"/>
        <family val="2"/>
        <scheme val="minor"/>
      </rPr>
      <t xml:space="preserve">
zuständiger
Bauleiter</t>
    </r>
  </si>
  <si>
    <t>beteiligter
Arbeitskollege
oder allein</t>
  </si>
  <si>
    <t>Bau-
stellen   
Beginn</t>
  </si>
  <si>
    <t>Bau-
stellen
Ende</t>
  </si>
  <si>
    <t>Pausen
Std</t>
  </si>
  <si>
    <t>Mo</t>
  </si>
  <si>
    <t>Di</t>
  </si>
  <si>
    <t>Mi</t>
  </si>
  <si>
    <t>Do</t>
  </si>
  <si>
    <t>Fr</t>
  </si>
  <si>
    <t>Sa</t>
  </si>
  <si>
    <t>So</t>
  </si>
  <si>
    <t>Neuste ZTV Lessen</t>
  </si>
  <si>
    <t>S</t>
  </si>
  <si>
    <t>NA</t>
  </si>
  <si>
    <t xml:space="preserve"> G.014182.796.00</t>
  </si>
  <si>
    <t>Singer</t>
  </si>
  <si>
    <t>Allein</t>
  </si>
  <si>
    <t>Miesbach, Schießstattstr. 15</t>
  </si>
  <si>
    <t>x</t>
  </si>
  <si>
    <t>P.0659633.1.01</t>
  </si>
  <si>
    <t>Juetersonke</t>
  </si>
  <si>
    <t>Miesbach, Floiger 43</t>
  </si>
  <si>
    <t>Lager Otterfing</t>
  </si>
  <si>
    <t>Fischbachau, Oeder 2</t>
  </si>
  <si>
    <t>Jachenau, Altlach 58</t>
  </si>
  <si>
    <t>Weyarn, Seehamer Str. 17</t>
  </si>
  <si>
    <t>Lenggreis</t>
  </si>
  <si>
    <t>Lager Kraimoos</t>
  </si>
  <si>
    <t>Neubeuern, Holzham 32</t>
  </si>
  <si>
    <t>Jährliche Unterweisung - Bediener Hubarbeitsbühne</t>
  </si>
  <si>
    <t>Gmund am Tegernsee, Jäger auf der Eben</t>
  </si>
  <si>
    <t>Bad Wiessee, Kirchenweg</t>
  </si>
  <si>
    <t>Sauerlach-Arget, Gumpertsham</t>
  </si>
  <si>
    <t>Fischbachau, Engelsried 1</t>
  </si>
  <si>
    <t xml:space="preserve">Gesamtstunden:   </t>
  </si>
  <si>
    <t>KFZ-Kennzeichen:</t>
  </si>
  <si>
    <t>LIF-B578</t>
  </si>
  <si>
    <t>Kilometerstand:</t>
  </si>
  <si>
    <t>Bitte Wochenberichte wöchentlich im Lohnbüro abgeben:</t>
  </si>
  <si>
    <t>Datum:</t>
  </si>
  <si>
    <t>Unterschrift Monteur</t>
  </si>
  <si>
    <t>eMail: lohn.ofm@axians.de</t>
  </si>
  <si>
    <t xml:space="preserve">
   Sonstige
   Bemerkungen:</t>
  </si>
  <si>
    <t>Kulmbacher Straße 72 · 96224 Burgkunstadt · Tel.: +49 9572 7566-0 · Fax: +49 9572 7566-66 · www.axians.de · E-Mail: info-ofm@axians.de</t>
  </si>
  <si>
    <r>
      <t xml:space="preserve">Hauptsitz:  </t>
    </r>
    <r>
      <rPr>
        <sz val="10"/>
        <color theme="1"/>
        <rFont val="Symbol"/>
        <family val="2"/>
      </rPr>
      <t>·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Burgkunstadt                                                                  Niederlassungen:    </t>
    </r>
    <r>
      <rPr>
        <sz val="10"/>
        <color theme="1"/>
        <rFont val="Symbol"/>
        <family val="2"/>
      </rPr>
      <t>·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München                                                        </t>
    </r>
    <r>
      <rPr>
        <sz val="10"/>
        <color theme="1"/>
        <rFont val="Symbol"/>
        <family val="2"/>
      </rPr>
      <t>·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Alzenau                                                          </t>
    </r>
    <r>
      <rPr>
        <sz val="10"/>
        <color theme="1"/>
        <rFont val="Symbol"/>
        <family val="2"/>
      </rPr>
      <t>·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Neustadt / Orla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</si>
</sst>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26"/>
      <color theme="1"/>
      <name val="Arial Black"/>
      <family val="2"/>
    </font>
    <font>
      <b/>
      <sz val="13"/>
      <color theme="1"/>
      <name val="Calibri"/>
      <family val="2"/>
    </font>
    <font>
      <b/>
      <sz val="18"/>
      <color theme="1"/>
      <name val="Calibri"/>
      <family val="2"/>
    </font>
    <font>
      <b/>
      <sz val="20"/>
      <color theme="1"/>
      <name val="Calibri"/>
      <family val="2"/>
    </font>
    <font>
      <b/>
      <sz val="19"/>
      <color theme="1"/>
      <name val="Calibri"/>
      <family val="2"/>
    </font>
    <font>
      <sz val="14"/>
      <color theme="1"/>
      <name val="Calibri"/>
      <family val="2"/>
    </font>
    <font>
      <b/>
      <sz val="24"/>
      <color theme="1"/>
      <name val="Arial Black"/>
      <family val="2"/>
    </font>
    <font>
      <b/>
      <sz val="10"/>
      <color rgb="FF0070c0"/>
      <name val="Arial"/>
      <family val="2"/>
    </font>
    <font>
      <b/>
      <sz val="20"/>
      <color theme="1"/>
      <name val="Arial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b/>
      <sz val="15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5"/>
      <color theme="1"/>
      <name val="Calibri"/>
      <family val="2"/>
    </font>
    <font>
      <b/>
      <sz val="8"/>
      <color theme="1"/>
      <name val="Bookman Old Style"/>
      <family val="2"/>
    </font>
    <font>
      <b/>
      <sz val="12"/>
      <color theme="1"/>
      <name val="Calibri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d5b5"/>
      </patternFill>
    </fill>
  </fills>
  <borders count="8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595959"/>
      </bottom>
      <diagonal/>
    </border>
    <border>
      <left style="medium">
        <color rgb="FF595959"/>
      </left>
      <right style="thin">
        <color rgb="FFc6c6c6"/>
      </right>
      <top style="medium">
        <color rgb="FF595959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595959"/>
      </top>
      <bottom style="thin">
        <color rgb="FFc6c6c6"/>
      </bottom>
      <diagonal/>
    </border>
    <border>
      <left style="thin">
        <color rgb="FFc6c6c6"/>
      </left>
      <right style="medium">
        <color rgb="FF595959"/>
      </right>
      <top style="medium">
        <color rgb="FF595959"/>
      </top>
      <bottom style="thin">
        <color rgb="FFc6c6c6"/>
      </bottom>
      <diagonal/>
    </border>
    <border>
      <left style="medium">
        <color rgb="FF595959"/>
      </left>
      <right/>
      <top style="medium">
        <color rgb="FF595959"/>
      </top>
      <bottom/>
      <diagonal/>
    </border>
    <border>
      <left/>
      <right/>
      <top style="medium">
        <color rgb="FF595959"/>
      </top>
      <bottom/>
      <diagonal/>
    </border>
    <border>
      <left/>
      <right style="medium">
        <color rgb="FF595959"/>
      </right>
      <top style="medium">
        <color rgb="FF595959"/>
      </top>
      <bottom/>
      <diagonal/>
    </border>
    <border>
      <left/>
      <right style="thin">
        <color rgb="FF595959"/>
      </right>
      <top style="medium">
        <color rgb="FF595959"/>
      </top>
      <bottom/>
      <diagonal/>
    </border>
    <border>
      <left style="thin">
        <color rgb="FF595959"/>
      </left>
      <right style="thin">
        <color rgb="FF595959"/>
      </right>
      <top style="medium">
        <color rgb="FF595959"/>
      </top>
      <bottom/>
      <diagonal/>
    </border>
    <border>
      <left style="thin">
        <color rgb="FF595959"/>
      </left>
      <right style="thin">
        <color rgb="FFc6c6c6"/>
      </right>
      <top style="medium">
        <color rgb="FF595959"/>
      </top>
      <bottom style="thin">
        <color rgb="FFc6c6c6"/>
      </bottom>
      <diagonal/>
    </border>
    <border>
      <left style="medium">
        <color rgb="FF595959"/>
      </left>
      <right style="thin">
        <color rgb="FFc6c6c6"/>
      </right>
      <top style="thin">
        <color rgb="FFc6c6c6"/>
      </top>
      <bottom style="medium">
        <color rgb="FF595959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595959"/>
      </bottom>
      <diagonal/>
    </border>
    <border>
      <left style="thin">
        <color rgb="FFc6c6c6"/>
      </left>
      <right style="medium">
        <color rgb="FF595959"/>
      </right>
      <top style="thin">
        <color rgb="FFc6c6c6"/>
      </top>
      <bottom style="medium">
        <color rgb="FF595959"/>
      </bottom>
      <diagonal/>
    </border>
    <border>
      <left style="medium">
        <color rgb="FF595959"/>
      </left>
      <right/>
      <top/>
      <bottom style="medium">
        <color rgb="FF595959"/>
      </bottom>
      <diagonal/>
    </border>
    <border>
      <left/>
      <right style="medium">
        <color rgb="FF595959"/>
      </right>
      <top/>
      <bottom style="medium">
        <color rgb="FF595959"/>
      </bottom>
      <diagonal/>
    </border>
    <border>
      <left/>
      <right style="thin">
        <color rgb="FF595959"/>
      </right>
      <top/>
      <bottom style="medium">
        <color rgb="FF595959"/>
      </bottom>
      <diagonal/>
    </border>
    <border>
      <left style="thin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595959"/>
      </right>
      <top style="thin">
        <color rgb="FFc6c6c6"/>
      </top>
      <bottom style="thin">
        <color rgb="FFc6c6c6"/>
      </bottom>
      <diagonal/>
    </border>
    <border>
      <left style="medium">
        <color rgb="FF595959"/>
      </left>
      <right style="thin">
        <color rgb="FFc6c6c6"/>
      </right>
      <top style="medium">
        <color rgb="FF595959"/>
      </top>
      <bottom style="thin">
        <color rgb="FF595959"/>
      </bottom>
      <diagonal/>
    </border>
    <border>
      <left style="thin">
        <color rgb="FFc6c6c6"/>
      </left>
      <right style="thin">
        <color rgb="FFc6c6c6"/>
      </right>
      <top style="medium">
        <color rgb="FF595959"/>
      </top>
      <bottom style="thin">
        <color rgb="FF595959"/>
      </bottom>
      <diagonal/>
    </border>
    <border>
      <left style="thin">
        <color rgb="FFc6c6c6"/>
      </left>
      <right style="medium">
        <color rgb="FF595959"/>
      </right>
      <top style="medium">
        <color rgb="FF595959"/>
      </top>
      <bottom style="thin">
        <color rgb="FF595959"/>
      </bottom>
      <diagonal/>
    </border>
    <border>
      <left style="medium">
        <color rgb="FF595959"/>
      </left>
      <right/>
      <top style="medium">
        <color rgb="FF595959"/>
      </top>
      <bottom style="thin">
        <color rgb="FF595959"/>
      </bottom>
      <diagonal/>
    </border>
    <border>
      <left/>
      <right/>
      <top style="medium">
        <color rgb="FF595959"/>
      </top>
      <bottom style="thin">
        <color rgb="FF595959"/>
      </bottom>
      <diagonal/>
    </border>
    <border>
      <left/>
      <right style="thin">
        <color rgb="FF595959"/>
      </right>
      <top style="medium">
        <color rgb="FF595959"/>
      </top>
      <bottom style="thin">
        <color rgb="FF595959"/>
      </bottom>
      <diagonal/>
    </border>
    <border>
      <left style="medium">
        <color rgb="FF595959"/>
      </left>
      <right style="thin">
        <color rgb="FFc6c6c6"/>
      </right>
      <top style="thin">
        <color rgb="FF595959"/>
      </top>
      <bottom style="medium">
        <color rgb="FF595959"/>
      </bottom>
      <diagonal/>
    </border>
    <border>
      <left style="thin">
        <color rgb="FFc6c6c6"/>
      </left>
      <right style="thin">
        <color rgb="FFc6c6c6"/>
      </right>
      <top style="thin">
        <color rgb="FF595959"/>
      </top>
      <bottom style="medium">
        <color rgb="FF595959"/>
      </bottom>
      <diagonal/>
    </border>
    <border>
      <left style="thin">
        <color rgb="FFc6c6c6"/>
      </left>
      <right style="medium">
        <color rgb="FF595959"/>
      </right>
      <top style="thin">
        <color rgb="FF595959"/>
      </top>
      <bottom style="medium">
        <color rgb="FF595959"/>
      </bottom>
      <diagonal/>
    </border>
    <border>
      <left style="medium">
        <color rgb="FF595959"/>
      </left>
      <right/>
      <top style="thin">
        <color rgb="FF595959"/>
      </top>
      <bottom style="medium">
        <color rgb="FF595959"/>
      </bottom>
      <diagonal/>
    </border>
    <border>
      <left/>
      <right/>
      <top style="thin">
        <color rgb="FF595959"/>
      </top>
      <bottom style="medium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595959"/>
      </bottom>
      <diagonal/>
    </border>
    <border>
      <left style="thin">
        <color rgb="FF595959"/>
      </left>
      <right style="thin">
        <color rgb="FF595959"/>
      </right>
      <top/>
      <bottom style="medium">
        <color rgb="FF595959"/>
      </bottom>
      <diagonal/>
    </border>
    <border>
      <left style="thin">
        <color rgb="FF595959"/>
      </left>
      <right style="thin">
        <color rgb="FFc6c6c6"/>
      </right>
      <top style="thin">
        <color rgb="FFc6c6c6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thin">
        <color rgb="FFc6c6c6"/>
      </bottom>
      <diagonal/>
    </border>
    <border>
      <left/>
      <right/>
      <top style="medium">
        <color rgb="FF595959"/>
      </top>
      <bottom style="dotted">
        <color rgb="FF595959"/>
      </bottom>
      <diagonal/>
    </border>
    <border>
      <left/>
      <right style="medium">
        <color rgb="FF595959"/>
      </right>
      <top style="medium">
        <color rgb="FF595959"/>
      </top>
      <bottom style="dotted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  <border>
      <left style="medium">
        <color rgb="FF595959"/>
      </left>
      <right/>
      <top/>
      <bottom/>
      <diagonal/>
    </border>
    <border>
      <left style="medium">
        <color rgb="FF595959"/>
      </left>
      <right style="medium">
        <color rgb="FF595959"/>
      </right>
      <top style="thin">
        <color rgb="FFc6c6c6"/>
      </top>
      <bottom style="thin">
        <color rgb="FFc6c6c6"/>
      </bottom>
      <diagonal/>
    </border>
    <border>
      <left style="medium">
        <color rgb="FF595959"/>
      </left>
      <right style="thin">
        <color rgb="FF595959"/>
      </right>
      <top style="dotted">
        <color rgb="FF595959"/>
      </top>
      <bottom style="dotted">
        <color rgb="FF595959"/>
      </bottom>
      <diagonal/>
    </border>
    <border>
      <left style="thin">
        <color rgb="FF595959"/>
      </left>
      <right style="thin">
        <color rgb="FF595959"/>
      </right>
      <top style="dotted">
        <color rgb="FF595959"/>
      </top>
      <bottom style="dotted">
        <color rgb="FF595959"/>
      </bottom>
      <diagonal/>
    </border>
    <border>
      <left style="thin">
        <color rgb="FF595959"/>
      </left>
      <right style="medium">
        <color rgb="FF595959"/>
      </right>
      <top style="dotted">
        <color rgb="FF595959"/>
      </top>
      <bottom style="dotted">
        <color rgb="FF595959"/>
      </bottom>
      <diagonal/>
    </border>
    <border>
      <left style="medium">
        <color rgb="FF595959"/>
      </left>
      <right style="medium">
        <color rgb="FF595959"/>
      </right>
      <top/>
      <bottom/>
      <diagonal/>
    </border>
    <border>
      <left style="medium">
        <color rgb="FF595959"/>
      </left>
      <right style="medium">
        <color rgb="FF595959"/>
      </right>
      <top style="thin">
        <color rgb="FFc6c6c6"/>
      </top>
      <bottom style="medium">
        <color rgb="FF595959"/>
      </bottom>
      <diagonal/>
    </border>
    <border>
      <left style="thin">
        <color rgb="FF595959"/>
      </left>
      <right style="thin">
        <color rgb="FF595959"/>
      </right>
      <top style="dotted">
        <color rgb="FF595959"/>
      </top>
      <bottom style="medium">
        <color rgb="FF595959"/>
      </bottom>
      <diagonal/>
    </border>
    <border>
      <left style="thin">
        <color rgb="FF595959"/>
      </left>
      <right style="medium">
        <color rgb="FF595959"/>
      </right>
      <top style="dotted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/>
      <bottom style="medium">
        <color rgb="FF595959"/>
      </bottom>
      <diagonal/>
    </border>
    <border>
      <left style="medium">
        <color rgb="FF595959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595959"/>
      </left>
      <right style="medium">
        <color rgb="FF595959"/>
      </right>
      <top style="thin">
        <color rgb="FF7f7f7f"/>
      </top>
      <bottom style="thin">
        <color rgb="FF7f7f7f"/>
      </bottom>
      <diagonal/>
    </border>
    <border>
      <left style="medium">
        <color rgb="FF595959"/>
      </left>
      <right style="medium">
        <color rgb="FF595959"/>
      </right>
      <top style="thin">
        <color rgb="FFc6c6c6"/>
      </top>
      <bottom style="thin">
        <color rgb="FF7f7f7f"/>
      </bottom>
      <diagonal/>
    </border>
    <border>
      <left style="thin">
        <color rgb="FF7f7f7f"/>
      </left>
      <right style="medium">
        <color rgb="FF595959"/>
      </right>
      <top style="thin">
        <color rgb="FF7f7f7f"/>
      </top>
      <bottom style="thin">
        <color rgb="FF7f7f7f"/>
      </bottom>
      <diagonal/>
    </border>
    <border>
      <left/>
      <right style="medium">
        <color rgb="FF595959"/>
      </right>
      <top/>
      <bottom style="thin">
        <color rgb="FF7f7f7f"/>
      </bottom>
      <diagonal/>
    </border>
    <border>
      <left style="medium">
        <color rgb="FF595959"/>
      </left>
      <right style="medium">
        <color rgb="FF595959"/>
      </right>
      <top/>
      <bottom style="thin">
        <color rgb="FF808080"/>
      </bottom>
      <diagonal/>
    </border>
    <border>
      <left/>
      <right style="medium">
        <color rgb="FF595959"/>
      </right>
      <top/>
      <bottom style="thin">
        <color rgb="FF808080"/>
      </bottom>
      <diagonal/>
    </border>
    <border>
      <left style="medium">
        <color rgb="FF595959"/>
      </left>
      <right/>
      <top style="medium">
        <color rgb="FF595959"/>
      </top>
      <bottom style="medium">
        <color rgb="FF595959"/>
      </bottom>
      <diagonal/>
    </border>
    <border>
      <left/>
      <right/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thin">
        <color rgb="FF000000"/>
      </right>
      <top style="medium">
        <color rgb="FF595959"/>
      </top>
      <bottom style="medium">
        <color rgb="FF595959"/>
      </bottom>
      <diagonal/>
    </border>
    <border>
      <left style="thin">
        <color rgb="FF000000"/>
      </left>
      <right/>
      <top style="medium">
        <color rgb="FF595959"/>
      </top>
      <bottom style="medium">
        <color rgb="FF595959"/>
      </bottom>
      <diagonal/>
    </border>
    <border>
      <left style="thin">
        <color rgb="FF000000"/>
      </left>
      <right style="thin">
        <color rgb="FFc6c6c6"/>
      </right>
      <top style="medium">
        <color rgb="FF595959"/>
      </top>
      <bottom style="medium">
        <color rgb="FF595959"/>
      </bottom>
      <diagonal/>
    </border>
    <border>
      <left style="thin">
        <color rgb="FF000000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dotted">
        <color rgb="FF595959"/>
      </bottom>
      <diagonal/>
    </border>
    <border>
      <left style="dotted">
        <color rgb="FF595959"/>
      </left>
      <right style="dotted">
        <color rgb="FF595959"/>
      </right>
      <top style="medium">
        <color rgb="FF595959"/>
      </top>
      <bottom style="dotted">
        <color rgb="FF595959"/>
      </bottom>
      <diagonal/>
    </border>
    <border>
      <left style="medium">
        <color rgb="FF595959"/>
      </left>
      <right/>
      <top style="dotted">
        <color rgb="FF595959"/>
      </top>
      <bottom style="medium">
        <color rgb="FF595959"/>
      </bottom>
      <diagonal/>
    </border>
    <border>
      <left/>
      <right/>
      <top style="dotted">
        <color rgb="FF595959"/>
      </top>
      <bottom style="medium">
        <color rgb="FF595959"/>
      </bottom>
      <diagonal/>
    </border>
    <border>
      <left style="dotted">
        <color rgb="FF595959"/>
      </left>
      <right style="dotted">
        <color rgb="FF595959"/>
      </right>
      <top style="dotted">
        <color rgb="FF595959"/>
      </top>
      <bottom style="medium">
        <color rgb="FF595959"/>
      </bottom>
      <diagonal/>
    </border>
    <border>
      <left/>
      <right style="medium">
        <color rgb="FF595959"/>
      </right>
      <top style="dotted">
        <color rgb="FF595959"/>
      </top>
      <bottom style="medium">
        <color rgb="FF595959"/>
      </bottom>
      <diagonal/>
    </border>
    <border>
      <left style="medium">
        <color rgb="FF595959"/>
      </left>
      <right/>
      <top/>
      <bottom style="dotted">
        <color rgb="FF7f7f7f"/>
      </bottom>
      <diagonal/>
    </border>
    <border>
      <left/>
      <right/>
      <top/>
      <bottom style="dotted">
        <color rgb="FF7f7f7f"/>
      </bottom>
      <diagonal/>
    </border>
    <border>
      <left/>
      <right style="medium">
        <color rgb="FF595959"/>
      </right>
      <top/>
      <bottom style="dotted">
        <color rgb="FF7f7f7f"/>
      </bottom>
      <diagonal/>
    </border>
    <border>
      <left style="medium">
        <color rgb="FF595959"/>
      </left>
      <right/>
      <top style="medium">
        <color rgb="FF595959"/>
      </top>
      <bottom style="dotted">
        <color rgb="FF7f7f7f"/>
      </bottom>
      <diagonal/>
    </border>
    <border>
      <left/>
      <right/>
      <top style="medium">
        <color rgb="FF595959"/>
      </top>
      <bottom style="dotted">
        <color rgb="FF7f7f7f"/>
      </bottom>
      <diagonal/>
    </border>
    <border>
      <left/>
      <right style="medium">
        <color rgb="FF595959"/>
      </right>
      <top style="medium">
        <color rgb="FF595959"/>
      </top>
      <bottom style="dotted">
        <color rgb="FF7f7f7f"/>
      </bottom>
      <diagonal/>
    </border>
    <border>
      <left style="medium">
        <color rgb="FF595959"/>
      </left>
      <right/>
      <top style="dotted">
        <color rgb="FF7f7f7f"/>
      </top>
      <bottom style="medium">
        <color rgb="FF595959"/>
      </bottom>
      <diagonal/>
    </border>
    <border>
      <left/>
      <right/>
      <top style="dotted">
        <color rgb="FF7f7f7f"/>
      </top>
      <bottom style="medium">
        <color rgb="FF595959"/>
      </bottom>
      <diagonal/>
    </border>
    <border>
      <left/>
      <right style="medium">
        <color rgb="FF595959"/>
      </right>
      <top style="dotted">
        <color rgb="FF7f7f7f"/>
      </top>
      <bottom style="medium">
        <color rgb="FF595959"/>
      </bottom>
      <diagonal/>
    </border>
    <border>
      <left/>
      <right/>
      <top style="dotted">
        <color rgb="FF595959"/>
      </top>
      <bottom style="dotted">
        <color rgb="FF595959"/>
      </bottom>
      <diagonal/>
    </border>
    <border>
      <left/>
      <right style="medium">
        <color rgb="FF595959"/>
      </right>
      <top style="dotted">
        <color rgb="FF595959"/>
      </top>
      <bottom style="dotted">
        <color rgb="FF595959"/>
      </bottom>
      <diagonal/>
    </border>
    <border>
      <left/>
      <right style="medium">
        <color rgb="FF595959"/>
      </right>
      <top/>
      <bottom/>
      <diagonal/>
    </border>
    <border>
      <left/>
      <right/>
      <top/>
      <bottom style="thin">
        <color rgb="FF595959"/>
      </bottom>
      <diagonal/>
    </border>
    <border>
      <left/>
      <right style="medium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/>
      <diagonal/>
    </border>
  </borders>
  <cellStyleXfs count="1">
    <xf numFmtId="0" fontId="0" fillId="0" borderId="0"/>
  </cellStyleXfs>
  <cellXfs count="198">
    <xf xfId="0" numFmtId="0" borderId="0" fontId="0" fillId="0"/>
    <xf xfId="0" numFmtId="20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20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5" applyFont="1" fillId="0" applyAlignment="1">
      <alignment horizontal="left"/>
    </xf>
    <xf xfId="0" numFmtId="3" applyNumberFormat="1" borderId="2" applyBorder="1" fontId="6" applyFont="1" fillId="0" applyAlignment="1">
      <alignment horizontal="center"/>
    </xf>
    <xf xfId="0" numFmtId="4" applyNumberFormat="1" borderId="1" applyBorder="1" fontId="4" applyFont="1" fillId="0" applyAlignment="1">
      <alignment horizontal="left"/>
    </xf>
    <xf xfId="0" numFmtId="3" applyNumberFormat="1" borderId="1" applyBorder="1" fontId="7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14" applyNumberFormat="1" borderId="2" applyBorder="1" fontId="6" applyFont="1" fillId="0" applyAlignment="1">
      <alignment horizontal="center"/>
    </xf>
    <xf xfId="0" numFmtId="3" applyNumberFormat="1" borderId="1" applyBorder="1" fontId="8" applyFont="1" fillId="0" applyAlignment="1">
      <alignment horizontal="right"/>
    </xf>
    <xf xfId="0" numFmtId="3" applyNumberFormat="1" borderId="3" applyBorder="1" fontId="9" applyFont="1" fillId="0" applyAlignment="1">
      <alignment horizontal="right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4" applyNumberFormat="1" borderId="0" fontId="0" fillId="0" applyAlignment="1">
      <alignment horizontal="center"/>
    </xf>
    <xf xfId="0" numFmtId="1" applyNumberFormat="1" borderId="3" applyBorder="1" fontId="10" applyFont="1" fillId="0" applyAlignment="1">
      <alignment horizontal="right"/>
    </xf>
    <xf xfId="0" numFmtId="3" applyNumberFormat="1" borderId="3" applyBorder="1" fontId="10" applyFont="1" fillId="0" applyAlignment="1">
      <alignment horizontal="right"/>
    </xf>
    <xf xfId="0" numFmtId="0" borderId="4" applyBorder="1" fontId="11" applyFont="1" fillId="2" applyFill="1" applyAlignment="1">
      <alignment horizontal="center" vertical="top"/>
    </xf>
    <xf xfId="0" numFmtId="3" applyNumberFormat="1" borderId="5" applyBorder="1" fontId="11" applyFont="1" fillId="2" applyFill="1" applyAlignment="1">
      <alignment horizontal="center"/>
    </xf>
    <xf xfId="0" numFmtId="3" applyNumberFormat="1" borderId="6" applyBorder="1" fontId="11" applyFont="1" fillId="2" applyFill="1" applyAlignment="1">
      <alignment horizontal="center"/>
    </xf>
    <xf xfId="0" numFmtId="3" applyNumberFormat="1" borderId="7" applyBorder="1" fontId="11" applyFont="1" fillId="0" applyAlignment="1">
      <alignment horizontal="center" vertical="top"/>
    </xf>
    <xf xfId="0" numFmtId="3" applyNumberFormat="1" borderId="8" applyBorder="1" fontId="11" applyFont="1" fillId="0" applyAlignment="1">
      <alignment horizontal="center"/>
    </xf>
    <xf xfId="0" numFmtId="3" applyNumberFormat="1" borderId="9" applyBorder="1" fontId="11" applyFont="1" fillId="0" applyAlignment="1">
      <alignment horizontal="center"/>
    </xf>
    <xf xfId="0" numFmtId="3" applyNumberFormat="1" borderId="4" applyBorder="1" fontId="11" applyFont="1" fillId="2" applyFill="1" applyAlignment="1">
      <alignment horizontal="center" vertical="top"/>
    </xf>
    <xf xfId="0" numFmtId="4" applyNumberFormat="1" borderId="8" applyBorder="1" fontId="11" applyFont="1" fillId="0" applyAlignment="1">
      <alignment horizontal="center" vertical="top"/>
    </xf>
    <xf xfId="0" numFmtId="3" applyNumberFormat="1" borderId="10" applyBorder="1" fontId="11" applyFont="1" fillId="0" applyAlignment="1">
      <alignment horizontal="center"/>
    </xf>
    <xf xfId="0" numFmtId="1" applyNumberFormat="1" borderId="11" applyBorder="1" fontId="12" applyFont="1" fillId="0" applyAlignment="1">
      <alignment horizontal="left" vertical="top" wrapText="1"/>
    </xf>
    <xf xfId="0" numFmtId="3" applyNumberFormat="1" borderId="12" applyBorder="1" fontId="13" applyFont="1" fillId="3" applyFill="1" applyAlignment="1">
      <alignment horizontal="center" wrapText="1"/>
    </xf>
    <xf xfId="0" numFmtId="3" applyNumberFormat="1" borderId="6" applyBorder="1" fontId="13" applyFont="1" fillId="3" applyFill="1" applyAlignment="1">
      <alignment horizontal="center" wrapText="1"/>
    </xf>
    <xf xfId="0" numFmtId="3" applyNumberFormat="1" borderId="13" applyBorder="1" fontId="11" applyFont="1" fillId="2" applyFill="1" applyAlignment="1">
      <alignment horizontal="center"/>
    </xf>
    <xf xfId="0" numFmtId="3" applyNumberFormat="1" borderId="14" applyBorder="1" fontId="11" applyFont="1" fillId="2" applyFill="1" applyAlignment="1">
      <alignment horizontal="center"/>
    </xf>
    <xf xfId="0" numFmtId="3" applyNumberFormat="1" borderId="15" applyBorder="1" fontId="11" applyFont="1" fillId="2" applyFill="1" applyAlignment="1">
      <alignment horizontal="center"/>
    </xf>
    <xf xfId="0" numFmtId="3" applyNumberFormat="1" borderId="16" applyBorder="1" fontId="11" applyFont="1" fillId="0" applyAlignment="1">
      <alignment horizontal="center"/>
    </xf>
    <xf xfId="0" numFmtId="3" applyNumberFormat="1" borderId="3" applyBorder="1" fontId="11" applyFont="1" fillId="0" applyAlignment="1">
      <alignment horizontal="center"/>
    </xf>
    <xf xfId="0" numFmtId="3" applyNumberFormat="1" borderId="17" applyBorder="1" fontId="11" applyFont="1" fillId="0" applyAlignment="1">
      <alignment horizontal="center"/>
    </xf>
    <xf xfId="0" numFmtId="3" applyNumberFormat="1" borderId="18" applyBorder="1" fontId="11" applyFont="1" fillId="0" applyAlignment="1">
      <alignment horizontal="center"/>
    </xf>
    <xf xfId="0" numFmtId="3" applyNumberFormat="1" borderId="19" applyBorder="1" fontId="12" applyFont="1" fillId="0" applyAlignment="1">
      <alignment horizontal="left" wrapText="1"/>
    </xf>
    <xf xfId="0" numFmtId="3" applyNumberFormat="1" borderId="20" applyBorder="1" fontId="13" applyFont="1" fillId="3" applyFill="1" applyAlignment="1">
      <alignment horizontal="center" vertical="top" wrapText="1"/>
    </xf>
    <xf xfId="0" numFmtId="3" applyNumberFormat="1" borderId="21" applyBorder="1" fontId="13" applyFont="1" fillId="3" applyFill="1" applyAlignment="1">
      <alignment horizontal="center" wrapText="1"/>
    </xf>
    <xf xfId="0" numFmtId="0" borderId="22" applyBorder="1" fontId="14" applyFont="1" fillId="2" applyFill="1" applyAlignment="1">
      <alignment horizontal="center"/>
    </xf>
    <xf xfId="0" numFmtId="3" applyNumberFormat="1" borderId="23" applyBorder="1" fontId="14" applyFont="1" fillId="2" applyFill="1" applyAlignment="1">
      <alignment horizontal="center"/>
    </xf>
    <xf xfId="0" numFmtId="3" applyNumberFormat="1" borderId="24" applyBorder="1" fontId="14" applyFont="1" fillId="2" applyFill="1" applyAlignment="1">
      <alignment horizontal="center"/>
    </xf>
    <xf xfId="0" numFmtId="3" applyNumberFormat="1" borderId="25" applyBorder="1" fontId="14" applyFont="1" fillId="0" applyAlignment="1">
      <alignment horizontal="center"/>
    </xf>
    <xf xfId="0" numFmtId="3" applyNumberFormat="1" borderId="26" applyBorder="1" fontId="14" applyFont="1" fillId="0" applyAlignment="1">
      <alignment horizontal="center"/>
    </xf>
    <xf xfId="0" numFmtId="3" applyNumberFormat="1" borderId="27" applyBorder="1" fontId="14" applyFont="1" fillId="0" applyAlignment="1">
      <alignment horizontal="center"/>
    </xf>
    <xf xfId="0" numFmtId="3" applyNumberFormat="1" borderId="20" applyBorder="1" fontId="13" applyFont="1" fillId="3" applyFill="1" applyAlignment="1">
      <alignment horizontal="center" wrapText="1"/>
    </xf>
    <xf xfId="0" numFmtId="0" borderId="28" applyBorder="1" fontId="14" applyFont="1" fillId="2" applyFill="1" applyAlignment="1">
      <alignment horizontal="center"/>
    </xf>
    <xf xfId="0" numFmtId="3" applyNumberFormat="1" borderId="29" applyBorder="1" fontId="14" applyFont="1" fillId="2" applyFill="1" applyAlignment="1">
      <alignment horizontal="center"/>
    </xf>
    <xf xfId="0" numFmtId="3" applyNumberFormat="1" borderId="30" applyBorder="1" fontId="14" applyFont="1" fillId="2" applyFill="1" applyAlignment="1">
      <alignment horizontal="center"/>
    </xf>
    <xf xfId="0" numFmtId="3" applyNumberFormat="1" borderId="31" applyBorder="1" fontId="14" applyFont="1" fillId="0" applyAlignment="1">
      <alignment horizontal="center"/>
    </xf>
    <xf xfId="0" numFmtId="3" applyNumberFormat="1" borderId="32" applyBorder="1" fontId="14" applyFont="1" fillId="0" applyAlignment="1">
      <alignment horizontal="center"/>
    </xf>
    <xf xfId="0" numFmtId="3" applyNumberFormat="1" borderId="33" applyBorder="1" fontId="14" applyFont="1" fillId="0" applyAlignment="1">
      <alignment horizontal="center"/>
    </xf>
    <xf xfId="0" numFmtId="3" applyNumberFormat="1" borderId="34" applyBorder="1" fontId="12" applyFont="1" fillId="0" applyAlignment="1">
      <alignment horizontal="left" wrapText="1"/>
    </xf>
    <xf xfId="0" numFmtId="3" applyNumberFormat="1" borderId="35" applyBorder="1" fontId="15" applyFont="1" fillId="3" applyFill="1" applyAlignment="1">
      <alignment horizontal="center" wrapText="1"/>
    </xf>
    <xf xfId="0" numFmtId="3" applyNumberFormat="1" borderId="15" applyBorder="1" fontId="15" applyFont="1" fillId="3" applyFill="1" applyAlignment="1">
      <alignment horizontal="center" wrapText="1"/>
    </xf>
    <xf xfId="0" numFmtId="0" borderId="7" applyBorder="1" fontId="14" applyFont="1" fillId="0" applyAlignment="1">
      <alignment horizontal="left" vertical="top" wrapText="1"/>
    </xf>
    <xf xfId="0" numFmtId="3" applyNumberFormat="1" borderId="8" applyBorder="1" fontId="14" applyFont="1" fillId="0" applyAlignment="1">
      <alignment horizontal="left"/>
    </xf>
    <xf xfId="0" numFmtId="3" applyNumberFormat="1" borderId="36" applyBorder="1" fontId="14" applyFont="1" fillId="2" applyFill="1" applyAlignment="1">
      <alignment horizontal="right"/>
    </xf>
    <xf xfId="0" numFmtId="4" applyNumberFormat="1" borderId="37" applyBorder="1" fontId="14" applyFont="1" fillId="0" applyAlignment="1">
      <alignment horizontal="center"/>
    </xf>
    <xf xfId="0" numFmtId="3" applyNumberFormat="1" borderId="37" applyBorder="1" fontId="14" applyFont="1" fillId="0" applyAlignment="1">
      <alignment horizontal="center"/>
    </xf>
    <xf xfId="0" numFmtId="3" applyNumberFormat="1" borderId="38" applyBorder="1" fontId="14" applyFont="1" fillId="0" applyAlignment="1">
      <alignment horizontal="center"/>
    </xf>
    <xf xfId="0" numFmtId="4" applyNumberFormat="1" borderId="39" applyBorder="1" fontId="14" applyFont="1" fillId="0" applyAlignment="1">
      <alignment horizontal="center" vertical="top" wrapText="1"/>
    </xf>
    <xf xfId="0" numFmtId="0" borderId="39" applyBorder="1" fontId="16" applyFont="1" fillId="0" applyAlignment="1">
      <alignment horizontal="left" vertical="top" wrapText="1"/>
    </xf>
    <xf xfId="0" numFmtId="14" applyNumberFormat="1" borderId="39" applyBorder="1" fontId="16" applyFont="1" fillId="0" applyAlignment="1">
      <alignment horizontal="center" vertical="top" wrapText="1"/>
    </xf>
    <xf xfId="0" numFmtId="14" applyNumberFormat="1" borderId="39" applyBorder="1" fontId="15" applyFont="1" fillId="0" applyAlignment="1">
      <alignment horizontal="center" vertical="top" wrapText="1"/>
    </xf>
    <xf xfId="0" numFmtId="3" applyNumberFormat="1" borderId="36" applyBorder="1" fontId="14" applyFont="1" fillId="2" applyFill="1" applyAlignment="1">
      <alignment horizontal="center" vertical="top" wrapText="1"/>
    </xf>
    <xf xfId="0" numFmtId="1" applyNumberFormat="1" borderId="39" applyBorder="1" fontId="14" applyFont="1" fillId="0" applyAlignment="1">
      <alignment horizontal="center" vertical="top" wrapText="1"/>
    </xf>
    <xf xfId="0" numFmtId="3" applyNumberFormat="1" borderId="39" applyBorder="1" fontId="14" applyFont="1" fillId="0" applyAlignment="1">
      <alignment horizontal="center" vertical="top" wrapText="1"/>
    </xf>
    <xf xfId="0" numFmtId="3" applyNumberFormat="1" borderId="40" applyBorder="1" fontId="14" applyFont="1" fillId="0" applyAlignment="1">
      <alignment horizontal="left"/>
    </xf>
    <xf xfId="0" numFmtId="3" applyNumberFormat="1" borderId="1" applyBorder="1" fontId="14" applyFont="1" fillId="0" applyAlignment="1">
      <alignment horizontal="left"/>
    </xf>
    <xf xfId="0" numFmtId="20" applyNumberFormat="1" borderId="41" applyBorder="1" fontId="17" applyFont="1" fillId="2" applyFill="1" applyAlignment="1">
      <alignment horizontal="center" vertical="top" wrapText="1"/>
    </xf>
    <xf xfId="0" numFmtId="4" applyNumberFormat="1" borderId="41" applyBorder="1" fontId="17" applyFont="1" fillId="2" applyFill="1" applyAlignment="1">
      <alignment horizontal="center" vertical="top" wrapText="1"/>
    </xf>
    <xf xfId="0" numFmtId="4" applyNumberFormat="1" borderId="42" applyBorder="1" fontId="12" applyFont="1" fillId="0" applyAlignment="1">
      <alignment horizontal="center"/>
    </xf>
    <xf xfId="0" numFmtId="4" applyNumberFormat="1" borderId="43" applyBorder="1" fontId="12" applyFont="1" fillId="0" applyAlignment="1">
      <alignment horizontal="center"/>
    </xf>
    <xf xfId="0" numFmtId="3" applyNumberFormat="1" borderId="43" applyBorder="1" fontId="12" applyFont="1" fillId="0" applyAlignment="1">
      <alignment horizontal="center"/>
    </xf>
    <xf xfId="0" numFmtId="3" applyNumberFormat="1" borderId="43" applyBorder="1" fontId="12" applyFont="1" fillId="2" applyFill="1" applyAlignment="1">
      <alignment horizontal="center"/>
    </xf>
    <xf xfId="0" numFmtId="3" applyNumberFormat="1" borderId="44" applyBorder="1" fontId="12" applyFont="1" fillId="2" applyFill="1" applyAlignment="1">
      <alignment horizontal="center"/>
    </xf>
    <xf xfId="0" numFmtId="3" applyNumberFormat="1" borderId="45" applyBorder="1" fontId="14" applyFont="1" fillId="0" applyAlignment="1">
      <alignment horizontal="center"/>
    </xf>
    <xf xfId="0" numFmtId="3" applyNumberFormat="1" borderId="45" applyBorder="1" fontId="14" applyFont="1" fillId="0" applyAlignment="1">
      <alignment horizontal="center" wrapText="1"/>
    </xf>
    <xf xfId="0" numFmtId="3" applyNumberFormat="1" borderId="45" applyBorder="1" fontId="16" applyFont="1" fillId="0" applyAlignment="1">
      <alignment horizontal="left" wrapText="1"/>
    </xf>
    <xf xfId="0" numFmtId="3" applyNumberFormat="1" borderId="45" applyBorder="1" fontId="16" applyFont="1" fillId="0" applyAlignment="1">
      <alignment horizontal="center" wrapText="1"/>
    </xf>
    <xf xfId="0" numFmtId="3" applyNumberFormat="1" borderId="45" applyBorder="1" fontId="15" applyFont="1" fillId="0" applyAlignment="1">
      <alignment horizontal="center"/>
    </xf>
    <xf xfId="0" numFmtId="3" applyNumberFormat="1" borderId="41" applyBorder="1" fontId="14" applyFont="1" fillId="2" applyFill="1" applyAlignment="1">
      <alignment horizontal="center"/>
    </xf>
    <xf xfId="0" numFmtId="3" applyNumberFormat="1" borderId="16" applyBorder="1" fontId="14" applyFont="1" fillId="0" applyAlignment="1">
      <alignment horizontal="left"/>
    </xf>
    <xf xfId="0" numFmtId="3" applyNumberFormat="1" borderId="3" applyBorder="1" fontId="14" applyFont="1" fillId="0" applyAlignment="1">
      <alignment horizontal="left"/>
    </xf>
    <xf xfId="0" numFmtId="3" applyNumberFormat="1" borderId="46" applyBorder="1" fontId="17" applyFont="1" fillId="2" applyFill="1" applyAlignment="1">
      <alignment horizontal="center"/>
    </xf>
    <xf xfId="0" numFmtId="3" applyNumberFormat="1" borderId="47" applyBorder="1" fontId="18" applyFont="1" fillId="0" applyAlignment="1">
      <alignment horizontal="center"/>
    </xf>
    <xf xfId="0" numFmtId="3" applyNumberFormat="1" borderId="47" applyBorder="1" fontId="18" applyFont="1" fillId="2" applyFill="1" applyAlignment="1">
      <alignment horizontal="center"/>
    </xf>
    <xf xfId="0" numFmtId="3" applyNumberFormat="1" borderId="48" applyBorder="1" fontId="18" applyFont="1" fillId="2" applyFill="1" applyAlignment="1">
      <alignment horizontal="center"/>
    </xf>
    <xf xfId="0" numFmtId="3" applyNumberFormat="1" borderId="49" applyBorder="1" fontId="14" applyFont="1" fillId="0" applyAlignment="1">
      <alignment horizontal="center"/>
    </xf>
    <xf xfId="0" numFmtId="3" applyNumberFormat="1" borderId="49" applyBorder="1" fontId="14" applyFont="1" fillId="0" applyAlignment="1">
      <alignment horizontal="center" wrapText="1"/>
    </xf>
    <xf xfId="0" numFmtId="3" applyNumberFormat="1" borderId="49" applyBorder="1" fontId="16" applyFont="1" fillId="0" applyAlignment="1">
      <alignment horizontal="left" wrapText="1"/>
    </xf>
    <xf xfId="0" numFmtId="3" applyNumberFormat="1" borderId="49" applyBorder="1" fontId="16" applyFont="1" fillId="0" applyAlignment="1">
      <alignment horizontal="center" wrapText="1"/>
    </xf>
    <xf xfId="0" numFmtId="3" applyNumberFormat="1" borderId="49" applyBorder="1" fontId="15" applyFont="1" fillId="0" applyAlignment="1">
      <alignment horizontal="center"/>
    </xf>
    <xf xfId="0" numFmtId="3" applyNumberFormat="1" borderId="46" applyBorder="1" fontId="14" applyFont="1" fillId="2" applyFill="1" applyAlignment="1">
      <alignment horizontal="center"/>
    </xf>
    <xf xfId="0" numFmtId="0" borderId="50" applyBorder="1" fontId="2" applyFont="1" fillId="0" applyAlignment="1">
      <alignment horizontal="left" wrapText="1"/>
    </xf>
    <xf xfId="0" numFmtId="3" applyNumberFormat="1" borderId="51" applyBorder="1" fontId="2" applyFont="1" fillId="0" applyAlignment="1">
      <alignment horizontal="left"/>
    </xf>
    <xf xfId="0" numFmtId="3" applyNumberFormat="1" borderId="52" applyBorder="1" fontId="2" applyFont="1" fillId="0" applyAlignment="1">
      <alignment horizontal="left"/>
    </xf>
    <xf xfId="0" numFmtId="20" applyNumberFormat="1" borderId="53" applyBorder="1" fontId="2" applyFont="1" fillId="2" applyFill="1" applyAlignment="1">
      <alignment horizontal="center"/>
    </xf>
    <xf xfId="0" numFmtId="4" applyNumberFormat="1" borderId="54" applyBorder="1" fontId="2" applyFont="1" fillId="2" applyFill="1" applyAlignment="1">
      <alignment horizontal="center"/>
    </xf>
    <xf xfId="0" numFmtId="4" applyNumberFormat="1" borderId="50" applyBorder="1" fontId="19" applyFont="1" fillId="0" applyAlignment="1">
      <alignment horizontal="center"/>
    </xf>
    <xf xfId="0" numFmtId="4" applyNumberFormat="1" borderId="51" applyBorder="1" fontId="19" applyFont="1" fillId="0" applyAlignment="1">
      <alignment horizontal="center"/>
    </xf>
    <xf xfId="0" numFmtId="3" applyNumberFormat="1" borderId="51" applyBorder="1" fontId="20" applyFont="1" fillId="2" applyFill="1" applyAlignment="1">
      <alignment horizontal="center"/>
    </xf>
    <xf xfId="0" numFmtId="3" applyNumberFormat="1" borderId="55" applyBorder="1" fontId="20" applyFont="1" fillId="2" applyFill="1" applyAlignment="1">
      <alignment horizontal="center"/>
    </xf>
    <xf xfId="0" numFmtId="4" applyNumberFormat="1" borderId="56" applyBorder="1" fontId="20" applyFont="1" fillId="0" applyAlignment="1">
      <alignment horizontal="center" wrapText="1"/>
    </xf>
    <xf xfId="0" numFmtId="3" applyNumberFormat="1" borderId="56" applyBorder="1" fontId="20" applyFont="1" fillId="0" applyAlignment="1">
      <alignment horizontal="center" wrapText="1"/>
    </xf>
    <xf xfId="0" numFmtId="0" borderId="57" applyBorder="1" fontId="20" applyFont="1" fillId="0" applyAlignment="1">
      <alignment horizontal="center" wrapText="1"/>
    </xf>
    <xf xfId="0" numFmtId="14" applyNumberFormat="1" borderId="58" applyBorder="1" fontId="20" applyFont="1" fillId="0" applyAlignment="1">
      <alignment horizontal="center"/>
    </xf>
    <xf xfId="0" numFmtId="3" applyNumberFormat="1" borderId="58" applyBorder="1" fontId="20" applyFont="1" fillId="0" applyAlignment="1">
      <alignment horizontal="center"/>
    </xf>
    <xf xfId="0" numFmtId="1" applyNumberFormat="1" borderId="58" applyBorder="1" fontId="20" applyFont="1" fillId="0" applyAlignment="1">
      <alignment horizontal="center"/>
    </xf>
    <xf xfId="0" numFmtId="3" applyNumberFormat="1" borderId="58" applyBorder="1" fontId="2" applyFont="1" fillId="0" applyAlignment="1">
      <alignment horizontal="center"/>
    </xf>
    <xf xfId="0" numFmtId="0" borderId="50" applyBorder="1" fontId="2" applyFont="1" fillId="0" applyAlignment="1">
      <alignment horizontal="left"/>
    </xf>
    <xf xfId="0" numFmtId="3" applyNumberFormat="1" borderId="58" applyBorder="1" fontId="1" applyFont="1" fillId="0" applyAlignment="1">
      <alignment horizontal="center"/>
    </xf>
    <xf xfId="0" numFmtId="3" applyNumberFormat="1" borderId="51" applyBorder="1" fontId="19" applyFont="1" fillId="0" applyAlignment="1">
      <alignment horizontal="center"/>
    </xf>
    <xf xfId="0" numFmtId="3" applyNumberFormat="1" borderId="50" applyBorder="1" fontId="2" applyFont="1" fillId="0" applyAlignment="1">
      <alignment horizontal="left"/>
    </xf>
    <xf xfId="0" numFmtId="3" applyNumberFormat="1" borderId="57" applyBorder="1" fontId="20" applyFont="1" fillId="0" applyAlignment="1">
      <alignment horizontal="center" wrapText="1"/>
    </xf>
    <xf xfId="0" numFmtId="0" borderId="59" applyBorder="1" fontId="21" applyFont="1" fillId="0" applyAlignment="1">
      <alignment horizontal="right"/>
    </xf>
    <xf xfId="0" numFmtId="3" applyNumberFormat="1" borderId="60" applyBorder="1" fontId="21" applyFont="1" fillId="0" applyAlignment="1">
      <alignment horizontal="right"/>
    </xf>
    <xf xfId="0" numFmtId="3" applyNumberFormat="1" borderId="61" applyBorder="1" fontId="14" applyFont="1" fillId="2" applyFill="1" applyAlignment="1">
      <alignment horizontal="center"/>
    </xf>
    <xf xfId="0" numFmtId="3" applyNumberFormat="1" borderId="62" applyBorder="1" fontId="2" applyFont="1" fillId="0" applyAlignment="1">
      <alignment horizontal="center"/>
    </xf>
    <xf xfId="0" numFmtId="3" applyNumberFormat="1" borderId="63" applyBorder="1" fontId="2" applyFont="1" fillId="0" applyAlignment="1">
      <alignment horizontal="center"/>
    </xf>
    <xf xfId="0" numFmtId="3" applyNumberFormat="1" borderId="64" applyBorder="1" fontId="2" applyFont="1" fillId="2" applyFill="1" applyAlignment="1">
      <alignment horizontal="center"/>
    </xf>
    <xf xfId="0" numFmtId="3" applyNumberFormat="1" borderId="65" applyBorder="1" fontId="2" applyFont="1" fillId="2" applyFill="1" applyAlignment="1">
      <alignment horizontal="center"/>
    </xf>
    <xf xfId="0" numFmtId="4" applyNumberFormat="1" borderId="60" applyBorder="1" fontId="20" applyFont="1" fillId="0" applyAlignment="1">
      <alignment horizontal="center"/>
    </xf>
    <xf xfId="0" numFmtId="3" applyNumberFormat="1" borderId="61" applyBorder="1" fontId="22" applyFont="1" fillId="0" applyAlignment="1">
      <alignment horizontal="right"/>
    </xf>
    <xf xfId="0" numFmtId="3" applyNumberFormat="1" borderId="61" applyBorder="1" fontId="22" applyFont="1" fillId="0" applyAlignment="1">
      <alignment horizontal="right" wrapText="1"/>
    </xf>
    <xf xfId="0" numFmtId="3" applyNumberFormat="1" borderId="7" applyBorder="1" fontId="22" applyFont="1" fillId="0" applyAlignment="1">
      <alignment horizontal="right" wrapText="1"/>
    </xf>
    <xf xfId="0" numFmtId="14" applyNumberFormat="1" borderId="66" applyBorder="1" fontId="14" applyFont="1" fillId="0" applyAlignment="1">
      <alignment horizontal="left"/>
    </xf>
    <xf xfId="0" numFmtId="3" applyNumberFormat="1" borderId="37" applyBorder="1" fontId="23" applyFont="1" fillId="0" applyAlignment="1">
      <alignment horizontal="center" wrapText="1"/>
    </xf>
    <xf xfId="0" numFmtId="1" applyNumberFormat="1" borderId="67" applyBorder="1" fontId="23" applyFont="1" fillId="0" applyAlignment="1">
      <alignment horizontal="center" wrapText="1"/>
    </xf>
    <xf xfId="0" numFmtId="3" applyNumberFormat="1" borderId="38" applyBorder="1" fontId="23" applyFont="1" fillId="0" applyAlignment="1">
      <alignment horizontal="center" wrapText="1"/>
    </xf>
    <xf xfId="0" numFmtId="3" applyNumberFormat="1" borderId="7" applyBorder="1" fontId="18" applyFont="1" fillId="0" applyAlignment="1">
      <alignment horizontal="left" vertical="top"/>
    </xf>
    <xf xfId="0" numFmtId="3" applyNumberFormat="1" borderId="8" applyBorder="1" fontId="18" applyFont="1" fillId="0" applyAlignment="1">
      <alignment horizontal="left"/>
    </xf>
    <xf xfId="0" numFmtId="3" applyNumberFormat="1" borderId="8" applyBorder="1" fontId="18" applyFont="1" fillId="0" applyAlignment="1">
      <alignment horizontal="center" vertical="top"/>
    </xf>
    <xf xfId="0" numFmtId="3" applyNumberFormat="1" borderId="8" applyBorder="1" fontId="18" applyFont="1" fillId="0" applyAlignment="1">
      <alignment horizontal="center"/>
    </xf>
    <xf xfId="0" numFmtId="3" applyNumberFormat="1" borderId="9" applyBorder="1" fontId="18" applyFont="1" fillId="0" applyAlignment="1">
      <alignment horizontal="center"/>
    </xf>
    <xf xfId="0" numFmtId="3" applyNumberFormat="1" borderId="9" applyBorder="1" fontId="18" applyFont="1" fillId="0" applyAlignment="1">
      <alignment horizontal="right"/>
    </xf>
    <xf xfId="0" numFmtId="3" applyNumberFormat="1" borderId="61" applyBorder="1" fontId="24" applyFont="1" fillId="0" applyAlignment="1">
      <alignment horizontal="right"/>
    </xf>
    <xf xfId="0" numFmtId="3" applyNumberFormat="1" borderId="61" applyBorder="1" fontId="21" applyFont="1" fillId="0" applyAlignment="1">
      <alignment horizontal="right" wrapText="1"/>
    </xf>
    <xf xfId="0" numFmtId="3" applyNumberFormat="1" borderId="16" applyBorder="1" fontId="21" applyFont="1" fillId="0" applyAlignment="1">
      <alignment horizontal="right" wrapText="1"/>
    </xf>
    <xf xfId="0" numFmtId="14" applyNumberFormat="1" borderId="68" applyBorder="1" fontId="21" applyFont="1" fillId="0" applyAlignment="1">
      <alignment horizontal="left"/>
    </xf>
    <xf xfId="0" numFmtId="3" applyNumberFormat="1" borderId="69" applyBorder="1" fontId="21" applyFont="1" fillId="0" applyAlignment="1">
      <alignment horizontal="center" wrapText="1"/>
    </xf>
    <xf xfId="0" numFmtId="3" applyNumberFormat="1" borderId="70" applyBorder="1" fontId="21" applyFont="1" fillId="0" applyAlignment="1">
      <alignment horizontal="center" wrapText="1"/>
    </xf>
    <xf xfId="0" numFmtId="3" applyNumberFormat="1" borderId="71" applyBorder="1" fontId="21" applyFont="1" fillId="0" applyAlignment="1">
      <alignment horizontal="center" wrapText="1"/>
    </xf>
    <xf xfId="0" numFmtId="3" applyNumberFormat="1" borderId="72" applyBorder="1" fontId="18" applyFont="1" fillId="0" applyAlignment="1">
      <alignment horizontal="left"/>
    </xf>
    <xf xfId="0" numFmtId="3" applyNumberFormat="1" borderId="73" applyBorder="1" fontId="18" applyFont="1" fillId="0" applyAlignment="1">
      <alignment horizontal="left"/>
    </xf>
    <xf xfId="0" numFmtId="3" applyNumberFormat="1" borderId="73" applyBorder="1" fontId="18" applyFont="1" fillId="0" applyAlignment="1">
      <alignment horizontal="center"/>
    </xf>
    <xf xfId="0" numFmtId="3" applyNumberFormat="1" borderId="74" applyBorder="1" fontId="18" applyFont="1" fillId="0" applyAlignment="1">
      <alignment horizontal="center"/>
    </xf>
    <xf xfId="0" numFmtId="3" applyNumberFormat="1" borderId="74" applyBorder="1" fontId="18" applyFont="1" fillId="0" applyAlignment="1">
      <alignment horizontal="right"/>
    </xf>
    <xf xfId="0" numFmtId="0" borderId="75" applyBorder="1" fontId="21" applyFont="1" fillId="0" applyAlignment="1">
      <alignment horizontal="center"/>
    </xf>
    <xf xfId="0" numFmtId="3" applyNumberFormat="1" borderId="76" applyBorder="1" fontId="21" applyFont="1" fillId="0" applyAlignment="1">
      <alignment horizontal="center"/>
    </xf>
    <xf xfId="0" numFmtId="3" applyNumberFormat="1" borderId="77" applyBorder="1" fontId="21" applyFont="1" fillId="0" applyAlignment="1">
      <alignment horizontal="center"/>
    </xf>
    <xf xfId="0" numFmtId="0" borderId="78" applyBorder="1" fontId="25" applyFont="1" fillId="0" applyAlignment="1">
      <alignment horizontal="left"/>
    </xf>
    <xf xfId="0" numFmtId="14" applyNumberFormat="1" borderId="79" applyBorder="1" fontId="25" applyFont="1" fillId="0" applyAlignment="1">
      <alignment horizontal="left"/>
    </xf>
    <xf xfId="0" numFmtId="3" applyNumberFormat="1" borderId="79" applyBorder="1" fontId="25" applyFont="1" fillId="0" applyAlignment="1">
      <alignment horizontal="center"/>
    </xf>
    <xf xfId="0" numFmtId="3" applyNumberFormat="1" borderId="80" applyBorder="1" fontId="25" applyFont="1" fillId="0" applyAlignment="1">
      <alignment horizontal="center"/>
    </xf>
    <xf xfId="0" numFmtId="3" applyNumberFormat="1" borderId="80" applyBorder="1" fontId="25" applyFont="1" fillId="0" applyAlignment="1">
      <alignment horizontal="right"/>
    </xf>
    <xf xfId="0" numFmtId="0" borderId="78" applyBorder="1" fontId="21" applyFont="1" fillId="0" applyAlignment="1">
      <alignment horizontal="center"/>
    </xf>
    <xf xfId="0" numFmtId="3" applyNumberFormat="1" borderId="79" applyBorder="1" fontId="21" applyFont="1" fillId="0" applyAlignment="1">
      <alignment horizontal="center"/>
    </xf>
    <xf xfId="0" numFmtId="3" applyNumberFormat="1" borderId="80" applyBorder="1" fontId="21" applyFont="1" fillId="0" applyAlignment="1">
      <alignment horizontal="center"/>
    </xf>
    <xf xfId="0" numFmtId="0" borderId="7" applyBorder="1" fontId="21" applyFont="1" fillId="0" applyAlignment="1">
      <alignment horizontal="left" vertical="top" wrapText="1"/>
    </xf>
    <xf xfId="0" numFmtId="3" applyNumberFormat="1" borderId="8" applyBorder="1" fontId="21" applyFont="1" fillId="0" applyAlignment="1">
      <alignment horizontal="left"/>
    </xf>
    <xf xfId="0" numFmtId="3" applyNumberFormat="1" borderId="37" applyBorder="1" fontId="26" applyFont="1" fillId="0" applyAlignment="1">
      <alignment horizontal="center"/>
    </xf>
    <xf xfId="0" numFmtId="3" applyNumberFormat="1" borderId="38" applyBorder="1" fontId="26" applyFont="1" fillId="0" applyAlignment="1">
      <alignment horizontal="center"/>
    </xf>
    <xf xfId="0" numFmtId="3" applyNumberFormat="1" borderId="40" applyBorder="1" fontId="21" applyFont="1" fillId="0" applyAlignment="1">
      <alignment horizontal="left"/>
    </xf>
    <xf xfId="0" numFmtId="3" applyNumberFormat="1" borderId="1" applyBorder="1" fontId="21" applyFont="1" fillId="0" applyAlignment="1">
      <alignment horizontal="left"/>
    </xf>
    <xf xfId="0" numFmtId="3" applyNumberFormat="1" borderId="81" applyBorder="1" fontId="22" applyFont="1" fillId="0" applyAlignment="1">
      <alignment horizontal="center"/>
    </xf>
    <xf xfId="0" numFmtId="3" applyNumberFormat="1" borderId="82" applyBorder="1" fontId="22" applyFont="1" fillId="0" applyAlignment="1">
      <alignment horizontal="center"/>
    </xf>
    <xf xfId="0" numFmtId="3" applyNumberFormat="1" borderId="16" applyBorder="1" fontId="21" applyFont="1" fillId="0" applyAlignment="1">
      <alignment horizontal="left"/>
    </xf>
    <xf xfId="0" numFmtId="3" applyNumberFormat="1" borderId="3" applyBorder="1" fontId="21" applyFont="1" fillId="0" applyAlignment="1">
      <alignment horizontal="left"/>
    </xf>
    <xf xfId="0" numFmtId="3" applyNumberFormat="1" borderId="69" applyBorder="1" fontId="22" applyFont="1" fillId="0" applyAlignment="1">
      <alignment horizontal="center"/>
    </xf>
    <xf xfId="0" numFmtId="3" applyNumberFormat="1" borderId="71" applyBorder="1" fontId="22" applyFont="1" fillId="0" applyAlignment="1">
      <alignment horizontal="center"/>
    </xf>
    <xf xfId="0" numFmtId="3" applyNumberFormat="1" borderId="1" applyBorder="1" fontId="22" applyFont="1" fillId="0" applyAlignment="1">
      <alignment horizontal="center"/>
    </xf>
    <xf xfId="0" numFmtId="3" applyNumberFormat="1" borderId="83" applyBorder="1" fontId="22" applyFont="1" fillId="0" applyAlignment="1">
      <alignment horizontal="center"/>
    </xf>
    <xf xfId="0" numFmtId="0" borderId="84" applyBorder="1" fontId="13" applyFont="1" fillId="0" applyAlignment="1">
      <alignment horizontal="center"/>
    </xf>
    <xf xfId="0" numFmtId="3" applyNumberFormat="1" borderId="84" applyBorder="1" fontId="13" applyFont="1" fillId="0" applyAlignment="1">
      <alignment horizontal="center"/>
    </xf>
    <xf xfId="0" numFmtId="20" applyNumberFormat="1" borderId="84" applyBorder="1" fontId="13" applyFont="1" fillId="0" applyAlignment="1">
      <alignment horizontal="center"/>
    </xf>
    <xf xfId="0" numFmtId="4" applyNumberFormat="1" borderId="84" applyBorder="1" fontId="13" applyFont="1" fillId="0" applyAlignment="1">
      <alignment horizontal="center"/>
    </xf>
    <xf xfId="0" numFmtId="14" applyNumberFormat="1" borderId="84" applyBorder="1" fontId="13" applyFont="1" fillId="0" applyAlignment="1">
      <alignment horizontal="center"/>
    </xf>
    <xf xfId="0" numFmtId="1" applyNumberFormat="1" borderId="84" applyBorder="1" fontId="13" applyFont="1" fillId="0" applyAlignment="1">
      <alignment horizontal="center"/>
    </xf>
    <xf xfId="0" numFmtId="3" applyNumberFormat="1" borderId="85" applyBorder="1" fontId="13" applyFont="1" fillId="0" applyAlignment="1">
      <alignment horizontal="center"/>
    </xf>
    <xf xfId="0" numFmtId="0" borderId="86" applyBorder="1" fontId="13" applyFont="1" fillId="0" applyAlignment="1">
      <alignment horizontal="center"/>
    </xf>
    <xf xfId="0" numFmtId="3" applyNumberFormat="1" borderId="86" applyBorder="1" fontId="13" applyFont="1" fillId="0" applyAlignment="1">
      <alignment horizontal="center"/>
    </xf>
    <xf xfId="0" numFmtId="20" applyNumberFormat="1" borderId="86" applyBorder="1" fontId="13" applyFont="1" fillId="0" applyAlignment="1">
      <alignment horizontal="center"/>
    </xf>
    <xf xfId="0" numFmtId="4" applyNumberFormat="1" borderId="86" applyBorder="1" fontId="13" applyFont="1" fillId="0" applyAlignment="1">
      <alignment horizontal="center"/>
    </xf>
    <xf xfId="0" numFmtId="14" applyNumberFormat="1" borderId="86" applyBorder="1" fontId="13" applyFont="1" fillId="0" applyAlignment="1">
      <alignment horizontal="center"/>
    </xf>
    <xf xfId="0" numFmtId="1" applyNumberFormat="1" borderId="86" applyBorder="1" fontId="13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59"/>
  <sheetViews>
    <sheetView workbookViewId="0" tabSelected="1"/>
  </sheetViews>
  <sheetFormatPr defaultRowHeight="15" x14ac:dyDescent="0.25"/>
  <cols>
    <col min="1" max="1" style="193" width="10.862142857142858" customWidth="1" bestFit="1"/>
    <col min="2" max="2" style="194" width="10.005" customWidth="1" bestFit="1"/>
    <col min="3" max="3" style="194" width="4.2907142857142855" customWidth="1" bestFit="1"/>
    <col min="4" max="4" style="194" width="5.719285714285714" customWidth="1" bestFit="1"/>
    <col min="5" max="5" style="4" width="5.719285714285714" customWidth="1" bestFit="1"/>
    <col min="6" max="6" style="4" width="5.719285714285714" customWidth="1" bestFit="1"/>
    <col min="7" max="7" style="195" width="5.719285714285714" customWidth="1" bestFit="1"/>
    <col min="8" max="8" style="195" width="6.005" customWidth="1" bestFit="1"/>
    <col min="9" max="9" style="195" width="6.005" customWidth="1" bestFit="1"/>
    <col min="10" max="10" style="195" width="6.005" customWidth="1" bestFit="1"/>
    <col min="11" max="11" style="195" width="6.005" customWidth="1" bestFit="1"/>
    <col min="12" max="12" style="194" width="6.005" customWidth="1" bestFit="1"/>
    <col min="13" max="13" style="194" width="6.005" customWidth="1" bestFit="1"/>
    <col min="14" max="14" style="194" width="6.005" customWidth="1" bestFit="1"/>
    <col min="15" max="15" style="195" width="11.719285714285713" customWidth="1" bestFit="1"/>
    <col min="16" max="16" style="195" width="11.719285714285713" customWidth="1" bestFit="1"/>
    <col min="17" max="17" style="193" width="9.719285714285713" customWidth="1" bestFit="1"/>
    <col min="18" max="18" style="196" width="5.2907142857142855" customWidth="1" bestFit="1"/>
    <col min="19" max="19" style="196" width="5.2907142857142855" customWidth="1" bestFit="1"/>
    <col min="20" max="20" style="196" width="14.862142857142858" customWidth="1" bestFit="1"/>
    <col min="21" max="21" style="194" width="14.290714285714287" customWidth="1" bestFit="1"/>
    <col min="22" max="22" style="197" width="20.719285714285714" customWidth="1" bestFit="1"/>
    <col min="23" max="23" style="194" width="14.290714285714287" customWidth="1" bestFit="1"/>
    <col min="24" max="24" style="194" width="20.719285714285714" customWidth="1" bestFit="1"/>
  </cols>
  <sheetData>
    <row x14ac:dyDescent="0.25" r="1" customHeight="1" ht="37.5">
      <c r="A1" s="6" t="s">
        <v>3</v>
      </c>
      <c r="B1" s="7"/>
      <c r="C1" s="7"/>
      <c r="D1" s="7"/>
      <c r="E1" s="7"/>
      <c r="F1" s="8"/>
      <c r="G1" s="9" t="s">
        <v>4</v>
      </c>
      <c r="H1" s="10">
        <v>8</v>
      </c>
      <c r="I1" s="10"/>
      <c r="J1" s="10"/>
      <c r="K1" s="11" t="s">
        <v>5</v>
      </c>
      <c r="L1" s="10" t="s">
        <v>6</v>
      </c>
      <c r="M1" s="10"/>
      <c r="N1" s="10"/>
      <c r="O1" s="10"/>
      <c r="P1" s="12"/>
      <c r="Q1" s="13" t="s">
        <v>7</v>
      </c>
      <c r="R1" s="14">
        <v>46075</v>
      </c>
      <c r="S1" s="14"/>
      <c r="T1" s="14"/>
      <c r="U1" s="14"/>
      <c r="V1" s="12"/>
      <c r="W1" s="12"/>
      <c r="X1" s="15"/>
    </row>
    <row x14ac:dyDescent="0.25" r="2" customHeight="1" ht="19.95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8"/>
      <c r="M2" s="18"/>
      <c r="N2" s="18"/>
      <c r="O2" s="17"/>
      <c r="P2" s="17"/>
      <c r="Q2" s="19"/>
      <c r="R2" s="20"/>
      <c r="S2" s="20"/>
      <c r="T2" s="20"/>
      <c r="U2" s="18"/>
      <c r="V2" s="21" t="s">
        <v>8</v>
      </c>
      <c r="W2" s="22"/>
      <c r="X2" s="22"/>
    </row>
    <row x14ac:dyDescent="0.25" r="3" customHeight="1" ht="28.2">
      <c r="A3" s="23" t="s">
        <v>9</v>
      </c>
      <c r="B3" s="24"/>
      <c r="C3" s="25"/>
      <c r="D3" s="26" t="s">
        <v>10</v>
      </c>
      <c r="E3" s="27"/>
      <c r="F3" s="27"/>
      <c r="G3" s="27"/>
      <c r="H3" s="27"/>
      <c r="I3" s="27"/>
      <c r="J3" s="27"/>
      <c r="K3" s="27"/>
      <c r="L3" s="28"/>
      <c r="M3" s="29" t="s">
        <v>11</v>
      </c>
      <c r="N3" s="24"/>
      <c r="O3" s="24"/>
      <c r="P3" s="30" t="s">
        <v>12</v>
      </c>
      <c r="Q3" s="27"/>
      <c r="R3" s="27"/>
      <c r="S3" s="27"/>
      <c r="T3" s="27"/>
      <c r="U3" s="31"/>
      <c r="V3" s="32" t="s">
        <v>13</v>
      </c>
      <c r="W3" s="33" t="s">
        <v>14</v>
      </c>
      <c r="X3" s="34"/>
    </row>
    <row x14ac:dyDescent="0.25" r="4" customHeight="1" ht="21.45">
      <c r="A4" s="35"/>
      <c r="B4" s="36"/>
      <c r="C4" s="37"/>
      <c r="D4" s="38"/>
      <c r="E4" s="39"/>
      <c r="F4" s="39"/>
      <c r="G4" s="39"/>
      <c r="H4" s="39"/>
      <c r="I4" s="39"/>
      <c r="J4" s="39"/>
      <c r="K4" s="39"/>
      <c r="L4" s="40"/>
      <c r="M4" s="35"/>
      <c r="N4" s="36"/>
      <c r="O4" s="36"/>
      <c r="P4" s="39"/>
      <c r="Q4" s="39"/>
      <c r="R4" s="39"/>
      <c r="S4" s="39"/>
      <c r="T4" s="39"/>
      <c r="U4" s="41"/>
      <c r="V4" s="42"/>
      <c r="W4" s="43" t="s">
        <v>15</v>
      </c>
      <c r="X4" s="44"/>
    </row>
    <row x14ac:dyDescent="0.25" r="5" customHeight="1" ht="35.4">
      <c r="A5" s="45" t="s">
        <v>16</v>
      </c>
      <c r="B5" s="46"/>
      <c r="C5" s="47"/>
      <c r="D5" s="48" t="s">
        <v>17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50"/>
      <c r="V5" s="42"/>
      <c r="W5" s="51"/>
      <c r="X5" s="44"/>
    </row>
    <row x14ac:dyDescent="0.25" r="6" customHeight="1" ht="39.6">
      <c r="A6" s="52" t="s">
        <v>18</v>
      </c>
      <c r="B6" s="53"/>
      <c r="C6" s="54"/>
      <c r="D6" s="55" t="s">
        <v>19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7"/>
      <c r="V6" s="58"/>
      <c r="W6" s="59" t="s">
        <v>20</v>
      </c>
      <c r="X6" s="60"/>
    </row>
    <row x14ac:dyDescent="0.25" r="7" customHeight="1" ht="12.75">
      <c r="A7" s="61" t="s">
        <v>21</v>
      </c>
      <c r="B7" s="62"/>
      <c r="C7" s="62"/>
      <c r="D7" s="62"/>
      <c r="E7" s="63"/>
      <c r="F7" s="63"/>
      <c r="G7" s="63"/>
      <c r="H7" s="64" t="s">
        <v>22</v>
      </c>
      <c r="I7" s="65"/>
      <c r="J7" s="65"/>
      <c r="K7" s="65"/>
      <c r="L7" s="65"/>
      <c r="M7" s="65"/>
      <c r="N7" s="66"/>
      <c r="O7" s="67" t="s">
        <v>23</v>
      </c>
      <c r="P7" s="67" t="s">
        <v>24</v>
      </c>
      <c r="Q7" s="68" t="s">
        <v>25</v>
      </c>
      <c r="R7" s="69" t="s">
        <v>26</v>
      </c>
      <c r="S7" s="69" t="s">
        <v>27</v>
      </c>
      <c r="T7" s="70" t="s">
        <v>28</v>
      </c>
      <c r="U7" s="71" t="s">
        <v>29</v>
      </c>
      <c r="V7" s="72" t="s">
        <v>30</v>
      </c>
      <c r="W7" s="73" t="s">
        <v>31</v>
      </c>
      <c r="X7" s="73" t="s">
        <v>32</v>
      </c>
    </row>
    <row x14ac:dyDescent="0.25" r="8" customHeight="1" ht="24.600000000000005">
      <c r="A8" s="74"/>
      <c r="B8" s="75"/>
      <c r="C8" s="75"/>
      <c r="D8" s="75"/>
      <c r="E8" s="76" t="s">
        <v>33</v>
      </c>
      <c r="F8" s="76" t="s">
        <v>34</v>
      </c>
      <c r="G8" s="77" t="s">
        <v>35</v>
      </c>
      <c r="H8" s="78" t="s">
        <v>36</v>
      </c>
      <c r="I8" s="79" t="s">
        <v>37</v>
      </c>
      <c r="J8" s="79" t="s">
        <v>38</v>
      </c>
      <c r="K8" s="79" t="s">
        <v>39</v>
      </c>
      <c r="L8" s="80" t="s">
        <v>40</v>
      </c>
      <c r="M8" s="81" t="s">
        <v>41</v>
      </c>
      <c r="N8" s="82" t="s">
        <v>42</v>
      </c>
      <c r="O8" s="83"/>
      <c r="P8" s="84"/>
      <c r="Q8" s="85"/>
      <c r="R8" s="86"/>
      <c r="S8" s="86"/>
      <c r="T8" s="87"/>
      <c r="U8" s="88"/>
      <c r="V8" s="83"/>
      <c r="W8" s="83"/>
      <c r="X8" s="83"/>
    </row>
    <row x14ac:dyDescent="0.25" r="9" customHeight="1" ht="24.600000000000005">
      <c r="A9" s="89"/>
      <c r="B9" s="90"/>
      <c r="C9" s="90"/>
      <c r="D9" s="90"/>
      <c r="E9" s="91"/>
      <c r="F9" s="91"/>
      <c r="G9" s="91"/>
      <c r="H9" s="92">
        <v>16</v>
      </c>
      <c r="I9" s="92">
        <v>17</v>
      </c>
      <c r="J9" s="92">
        <v>18</v>
      </c>
      <c r="K9" s="92">
        <v>19</v>
      </c>
      <c r="L9" s="92">
        <v>20</v>
      </c>
      <c r="M9" s="93">
        <v>21</v>
      </c>
      <c r="N9" s="94">
        <v>22</v>
      </c>
      <c r="O9" s="95"/>
      <c r="P9" s="96"/>
      <c r="Q9" s="97"/>
      <c r="R9" s="98"/>
      <c r="S9" s="98"/>
      <c r="T9" s="99"/>
      <c r="U9" s="100"/>
      <c r="V9" s="95"/>
      <c r="W9" s="95"/>
      <c r="X9" s="95"/>
    </row>
    <row x14ac:dyDescent="0.25" r="10" customHeight="1" ht="30.899999999999995">
      <c r="A10" s="101" t="s">
        <v>43</v>
      </c>
      <c r="B10" s="102"/>
      <c r="C10" s="102"/>
      <c r="D10" s="103"/>
      <c r="E10" s="104">
        <v>1.2916666666666667</v>
      </c>
      <c r="F10" s="104">
        <v>1.6875</v>
      </c>
      <c r="G10" s="105">
        <f>IF(E10="","",IF(E10&lt;F10,IF((F10-E10)*24&gt;9.5,0.75,IF((F10-E10)*24&gt;6,0.5,0)),IF((F10-E10+1)*24&gt;9.5,0.75,IF((F10-E10+1)*24&gt;6,0.5,0))))</f>
      </c>
      <c r="H10" s="106">
        <v>1</v>
      </c>
      <c r="I10" s="107"/>
      <c r="J10" s="107"/>
      <c r="K10" s="107"/>
      <c r="L10" s="107"/>
      <c r="M10" s="108"/>
      <c r="N10" s="109"/>
      <c r="O10" s="110">
        <f>IF(E10="","",IF(E10&lt;F10,F10-E10,F10-E10+1)*24)</f>
      </c>
      <c r="P10" s="111">
        <f>IF(E10="","",IF(O10-G10&gt;10,"Arbeitszeit prüfen",SUM(O10-G10)))</f>
      </c>
      <c r="Q10" s="112" t="s">
        <v>44</v>
      </c>
      <c r="R10" s="113" t="s">
        <v>45</v>
      </c>
      <c r="S10" s="113"/>
      <c r="T10" s="113" t="s">
        <v>46</v>
      </c>
      <c r="U10" s="114"/>
      <c r="V10" s="115"/>
      <c r="W10" s="114" t="s">
        <v>47</v>
      </c>
      <c r="X10" s="116" t="s">
        <v>48</v>
      </c>
    </row>
    <row x14ac:dyDescent="0.25" r="11" customHeight="1" ht="30.899999999999995">
      <c r="A11" s="117" t="s">
        <v>49</v>
      </c>
      <c r="B11" s="102"/>
      <c r="C11" s="102"/>
      <c r="D11" s="103"/>
      <c r="E11" s="104"/>
      <c r="F11" s="104"/>
      <c r="G11" s="105">
        <f>IF(E11="","",IF(E11&lt;F11,IF((F11-E11)*24&gt;9.5,0.75,IF((F11-E11)*24&gt;6,0.5,0)),IF((F11-E11+1)*24&gt;9.5,0.75,IF((F11-E11+1)*24&gt;6,0.5,0))))</f>
      </c>
      <c r="H11" s="106" t="s">
        <v>50</v>
      </c>
      <c r="I11" s="107"/>
      <c r="J11" s="107"/>
      <c r="K11" s="107"/>
      <c r="L11" s="107"/>
      <c r="M11" s="108"/>
      <c r="N11" s="109"/>
      <c r="O11" s="110">
        <f>IF(E11="","",IF(E11&lt;F11,F11-E11,F11-E11+1)*24)</f>
      </c>
      <c r="P11" s="110">
        <f>IF(E11="","",IF(O11-G11&gt;10,"Arbeitszeit prüfen",SUM(O11-G11)))</f>
      </c>
      <c r="Q11" s="112" t="s">
        <v>44</v>
      </c>
      <c r="R11" s="113" t="s">
        <v>45</v>
      </c>
      <c r="S11" s="114"/>
      <c r="T11" s="113" t="s">
        <v>51</v>
      </c>
      <c r="U11" s="114"/>
      <c r="V11" s="115">
        <v>212503964</v>
      </c>
      <c r="W11" s="114" t="s">
        <v>47</v>
      </c>
      <c r="X11" s="118" t="s">
        <v>52</v>
      </c>
    </row>
    <row x14ac:dyDescent="0.25" r="12" customHeight="1" ht="30.899999999999995">
      <c r="A12" s="117" t="s">
        <v>53</v>
      </c>
      <c r="B12" s="102"/>
      <c r="C12" s="102"/>
      <c r="D12" s="103"/>
      <c r="E12" s="104"/>
      <c r="F12" s="104"/>
      <c r="G12" s="105">
        <f>IF(E12="","",IF(E12&lt;F12,IF((F12-E12)*24&gt;9.5,0.75,IF((F12-E12)*24&gt;6,0.5,0)),IF((F12-E12+1)*24&gt;9.5,0.75,IF((F12-E12+1)*24&gt;6,0.5,0))))</f>
      </c>
      <c r="H12" s="106" t="s">
        <v>50</v>
      </c>
      <c r="I12" s="107"/>
      <c r="J12" s="107"/>
      <c r="K12" s="107"/>
      <c r="L12" s="107"/>
      <c r="M12" s="108"/>
      <c r="N12" s="109"/>
      <c r="O12" s="110">
        <f>IF(E12="","",IF(E12&lt;F12,F12-E12,F12-E12+1)*24)</f>
      </c>
      <c r="P12" s="110">
        <f>IF(E12="","",IF(O12-G12&gt;10,"Arbeitszeit prüfen",SUM(O12-G12)))</f>
      </c>
      <c r="Q12" s="112" t="s">
        <v>44</v>
      </c>
      <c r="R12" s="113" t="s">
        <v>45</v>
      </c>
      <c r="S12" s="114"/>
      <c r="T12" s="113" t="s">
        <v>51</v>
      </c>
      <c r="U12" s="114"/>
      <c r="V12" s="115">
        <v>212505035</v>
      </c>
      <c r="W12" s="114" t="s">
        <v>47</v>
      </c>
      <c r="X12" s="118" t="s">
        <v>52</v>
      </c>
    </row>
    <row x14ac:dyDescent="0.25" r="13" customHeight="1" ht="30.899999999999995">
      <c r="A13" s="117" t="s">
        <v>54</v>
      </c>
      <c r="B13" s="102"/>
      <c r="C13" s="102"/>
      <c r="D13" s="103"/>
      <c r="E13" s="104">
        <v>1.3020833333333333</v>
      </c>
      <c r="F13" s="104">
        <v>1.71875</v>
      </c>
      <c r="G13" s="105">
        <f>IF(E13="","",IF(E13&lt;F13,IF((F13-E13)*24&gt;9.5,0.75,IF((F13-E13)*24&gt;6,0.5,0)),IF((F13-E13+1)*24&gt;9.5,0.75,IF((F13-E13+1)*24&gt;6,0.5,0))))</f>
      </c>
      <c r="H13" s="106"/>
      <c r="I13" s="107">
        <v>0.5</v>
      </c>
      <c r="J13" s="107"/>
      <c r="K13" s="107"/>
      <c r="L13" s="107"/>
      <c r="M13" s="108"/>
      <c r="N13" s="109"/>
      <c r="O13" s="111">
        <f>IF(E13="","",IF(E13&lt;F13,F13-E13,F13-E13+1)*24)</f>
      </c>
      <c r="P13" s="110">
        <f>IF(E13="","",IF(O13-G13&gt;10,"Arbeitszeit prüfen",SUM(O13-G13)))</f>
      </c>
      <c r="Q13" s="112" t="s">
        <v>44</v>
      </c>
      <c r="R13" s="113" t="s">
        <v>45</v>
      </c>
      <c r="S13" s="114"/>
      <c r="T13" s="113" t="s">
        <v>51</v>
      </c>
      <c r="U13" s="114"/>
      <c r="V13" s="115"/>
      <c r="W13" s="114" t="s">
        <v>47</v>
      </c>
      <c r="X13" s="118" t="s">
        <v>52</v>
      </c>
    </row>
    <row x14ac:dyDescent="0.25" r="14" customHeight="1" ht="30.899999999999995">
      <c r="A14" s="117" t="s">
        <v>55</v>
      </c>
      <c r="B14" s="102"/>
      <c r="C14" s="102"/>
      <c r="D14" s="103"/>
      <c r="E14" s="104"/>
      <c r="F14" s="104"/>
      <c r="G14" s="105">
        <f>IF(E14="","",IF(E14&lt;F14,IF((F14-E14)*24&gt;9.5,0.75,IF((F14-E14)*24&gt;6,0.5,0)),IF((F14-E14+1)*24&gt;9.5,0.75,IF((F14-E14+1)*24&gt;6,0.5,0))))</f>
      </c>
      <c r="H14" s="106"/>
      <c r="I14" s="107" t="s">
        <v>50</v>
      </c>
      <c r="J14" s="107"/>
      <c r="K14" s="107"/>
      <c r="L14" s="107"/>
      <c r="M14" s="108"/>
      <c r="N14" s="109"/>
      <c r="O14" s="110">
        <f>IF(E14="","",IF(E14&lt;F14,F14-E14,F14-E14+1)*24)</f>
      </c>
      <c r="P14" s="110">
        <f>IF(E14="","",IF(O14-G14&gt;10,"Arbeitszeit prüfen",SUM(O14-G14)))</f>
      </c>
      <c r="Q14" s="112" t="s">
        <v>44</v>
      </c>
      <c r="R14" s="113" t="s">
        <v>45</v>
      </c>
      <c r="S14" s="114"/>
      <c r="T14" s="113" t="s">
        <v>51</v>
      </c>
      <c r="U14" s="114"/>
      <c r="V14" s="115">
        <v>212505610</v>
      </c>
      <c r="W14" s="114" t="s">
        <v>47</v>
      </c>
      <c r="X14" s="118" t="s">
        <v>52</v>
      </c>
    </row>
    <row x14ac:dyDescent="0.25" r="15" customHeight="1" ht="30.899999999999995">
      <c r="A15" s="117" t="s">
        <v>56</v>
      </c>
      <c r="B15" s="102"/>
      <c r="C15" s="102"/>
      <c r="D15" s="103"/>
      <c r="E15" s="104"/>
      <c r="F15" s="104"/>
      <c r="G15" s="105">
        <f>IF(E15="","",IF(E15&lt;F15,IF((F15-E15)*24&gt;9.5,0.75,IF((F15-E15)*24&gt;6,0.5,0)),IF((F15-E15+1)*24&gt;9.5,0.75,IF((F15-E15+1)*24&gt;6,0.5,0))))</f>
      </c>
      <c r="H15" s="106"/>
      <c r="I15" s="107" t="s">
        <v>50</v>
      </c>
      <c r="J15" s="107"/>
      <c r="K15" s="107"/>
      <c r="L15" s="107"/>
      <c r="M15" s="108"/>
      <c r="N15" s="109"/>
      <c r="O15" s="110">
        <f>IF(E15="","",IF(E15&lt;F15,F15-E15,F15-E15+1)*24)</f>
      </c>
      <c r="P15" s="110">
        <f>IF(E15="","",IF(O15-G15&gt;10,"Arbeitszeit prüfen",SUM(O15-G15)))</f>
      </c>
      <c r="Q15" s="112" t="s">
        <v>44</v>
      </c>
      <c r="R15" s="113" t="s">
        <v>45</v>
      </c>
      <c r="S15" s="114"/>
      <c r="T15" s="113" t="s">
        <v>51</v>
      </c>
      <c r="U15" s="114"/>
      <c r="V15" s="115">
        <v>212504553</v>
      </c>
      <c r="W15" s="114" t="s">
        <v>47</v>
      </c>
      <c r="X15" s="118" t="s">
        <v>52</v>
      </c>
    </row>
    <row x14ac:dyDescent="0.25" r="16" customHeight="1" ht="30.899999999999995">
      <c r="A16" s="117" t="s">
        <v>57</v>
      </c>
      <c r="B16" s="102"/>
      <c r="C16" s="102"/>
      <c r="D16" s="103"/>
      <c r="E16" s="104"/>
      <c r="F16" s="104"/>
      <c r="G16" s="105">
        <f>IF(E16="","",IF(E16&lt;F16,IF((F16-E16)*24&gt;9.5,0.75,IF((F16-E16)*24&gt;6,0.5,0)),IF((F16-E16+1)*24&gt;9.5,0.75,IF((F16-E16+1)*24&gt;6,0.5,0))))</f>
      </c>
      <c r="H16" s="106"/>
      <c r="I16" s="107" t="s">
        <v>50</v>
      </c>
      <c r="J16" s="107"/>
      <c r="K16" s="107"/>
      <c r="L16" s="107"/>
      <c r="M16" s="108"/>
      <c r="N16" s="109"/>
      <c r="O16" s="110">
        <f>IF(E16="","",IF(E16&lt;F16,F16-E16,F16-E16+1)*24)</f>
      </c>
      <c r="P16" s="110">
        <f>IF(E16="","",IF(O16-G16&gt;10,"Arbeitszeit prüfen",SUM(O16-G16)))</f>
      </c>
      <c r="Q16" s="112" t="s">
        <v>44</v>
      </c>
      <c r="R16" s="113" t="s">
        <v>45</v>
      </c>
      <c r="S16" s="114"/>
      <c r="T16" s="113" t="s">
        <v>51</v>
      </c>
      <c r="U16" s="114"/>
      <c r="V16" s="115">
        <v>212506757</v>
      </c>
      <c r="W16" s="114" t="s">
        <v>47</v>
      </c>
      <c r="X16" s="118" t="s">
        <v>52</v>
      </c>
    </row>
    <row x14ac:dyDescent="0.25" r="17" customHeight="1" ht="30.899999999999995">
      <c r="A17" s="117" t="s">
        <v>58</v>
      </c>
      <c r="B17" s="102"/>
      <c r="C17" s="102"/>
      <c r="D17" s="103"/>
      <c r="E17" s="104"/>
      <c r="F17" s="104"/>
      <c r="G17" s="105">
        <f>IF(E17="","",IF(E17&lt;F17,IF((F17-E17)*24&gt;9.5,0.75,IF((F17-E17)*24&gt;6,0.5,0)),IF((F17-E17+1)*24&gt;9.5,0.75,IF((F17-E17+1)*24&gt;6,0.5,0))))</f>
      </c>
      <c r="H17" s="106"/>
      <c r="I17" s="107" t="s">
        <v>50</v>
      </c>
      <c r="J17" s="107"/>
      <c r="K17" s="107"/>
      <c r="L17" s="107"/>
      <c r="M17" s="108"/>
      <c r="N17" s="109"/>
      <c r="O17" s="110">
        <f>IF(E17="","",IF(E17&lt;F17,F17-E17,F17-E17+1)*24)</f>
      </c>
      <c r="P17" s="110">
        <f>IF(E17="","",IF(O17-G17&gt;10,"Arbeitszeit prüfen",SUM(O17-G17)))</f>
      </c>
      <c r="Q17" s="112" t="s">
        <v>44</v>
      </c>
      <c r="R17" s="113" t="s">
        <v>45</v>
      </c>
      <c r="S17" s="114"/>
      <c r="T17" s="113" t="s">
        <v>51</v>
      </c>
      <c r="U17" s="114"/>
      <c r="V17" s="115">
        <v>212506706</v>
      </c>
      <c r="W17" s="114" t="s">
        <v>47</v>
      </c>
      <c r="X17" s="118" t="s">
        <v>52</v>
      </c>
    </row>
    <row x14ac:dyDescent="0.25" r="18" customHeight="1" ht="30.899999999999995">
      <c r="A18" s="117" t="s">
        <v>59</v>
      </c>
      <c r="B18" s="102"/>
      <c r="C18" s="102"/>
      <c r="D18" s="103"/>
      <c r="E18" s="104">
        <v>1.2916666666666667</v>
      </c>
      <c r="F18" s="104">
        <v>1.7083333333333335</v>
      </c>
      <c r="G18" s="105">
        <f>IF(E18="","",IF(E18&lt;F18,IF((F18-E18)*24&gt;9.5,0.75,IF((F18-E18)*24&gt;6,0.5,0)),IF((F18-E18+1)*24&gt;9.5,0.75,IF((F18-E18+1)*24&gt;6,0.5,0))))</f>
      </c>
      <c r="H18" s="106"/>
      <c r="I18" s="107"/>
      <c r="J18" s="107">
        <v>0.5</v>
      </c>
      <c r="K18" s="107"/>
      <c r="L18" s="107"/>
      <c r="M18" s="108"/>
      <c r="N18" s="109"/>
      <c r="O18" s="111">
        <f>IF(E18="","",IF(E18&lt;F18,F18-E18,F18-E18+1)*24)</f>
      </c>
      <c r="P18" s="110">
        <f>IF(E18="","",IF(O18-G18&gt;10,"Arbeitszeit prüfen",SUM(O18-G18)))</f>
      </c>
      <c r="Q18" s="112" t="s">
        <v>44</v>
      </c>
      <c r="R18" s="113" t="s">
        <v>45</v>
      </c>
      <c r="S18" s="114"/>
      <c r="T18" s="113" t="s">
        <v>51</v>
      </c>
      <c r="U18" s="114"/>
      <c r="V18" s="115"/>
      <c r="W18" s="114" t="s">
        <v>47</v>
      </c>
      <c r="X18" s="116" t="s">
        <v>48</v>
      </c>
    </row>
    <row x14ac:dyDescent="0.25" r="19" customHeight="1" ht="30.899999999999995">
      <c r="A19" s="117" t="s">
        <v>60</v>
      </c>
      <c r="B19" s="102"/>
      <c r="C19" s="102"/>
      <c r="D19" s="103"/>
      <c r="E19" s="104"/>
      <c r="F19" s="104"/>
      <c r="G19" s="105">
        <f>IF(E19="","",IF(E19&lt;F19,IF((F19-E19)*24&gt;9.5,0.75,IF((F19-E19)*24&gt;6,0.5,0)),IF((F19-E19+1)*24&gt;9.5,0.75,IF((F19-E19+1)*24&gt;6,0.5,0))))</f>
      </c>
      <c r="H19" s="106"/>
      <c r="I19" s="107"/>
      <c r="J19" s="107" t="s">
        <v>50</v>
      </c>
      <c r="K19" s="107"/>
      <c r="L19" s="107"/>
      <c r="M19" s="108"/>
      <c r="N19" s="109"/>
      <c r="O19" s="110">
        <f>IF(E19="","",IF(E19&lt;F19,F19-E19,F19-E19+1)*24)</f>
      </c>
      <c r="P19" s="110">
        <f>IF(E19="","",IF(O19-G19&gt;10,"Arbeitszeit prüfen",SUM(O19-G19)))</f>
      </c>
      <c r="Q19" s="112" t="s">
        <v>44</v>
      </c>
      <c r="R19" s="113" t="s">
        <v>45</v>
      </c>
      <c r="S19" s="114"/>
      <c r="T19" s="113" t="s">
        <v>51</v>
      </c>
      <c r="U19" s="114"/>
      <c r="V19" s="115">
        <v>212508706</v>
      </c>
      <c r="W19" s="114" t="s">
        <v>47</v>
      </c>
      <c r="X19" s="118" t="s">
        <v>52</v>
      </c>
    </row>
    <row x14ac:dyDescent="0.25" r="20" customHeight="1" ht="30.899999999999995">
      <c r="A20" s="117" t="s">
        <v>49</v>
      </c>
      <c r="B20" s="102"/>
      <c r="C20" s="102"/>
      <c r="D20" s="103"/>
      <c r="E20" s="104"/>
      <c r="F20" s="104"/>
      <c r="G20" s="105">
        <f>IF(E20="","",IF(E20&lt;F20,IF((F20-E20)*24&gt;9.5,0.75,IF((F20-E20)*24&gt;6,0.5,0)),IF((F20-E20+1)*24&gt;9.5,0.75,IF((F20-E20+1)*24&gt;6,0.5,0))))</f>
      </c>
      <c r="H20" s="106"/>
      <c r="I20" s="107"/>
      <c r="J20" s="107" t="s">
        <v>50</v>
      </c>
      <c r="K20" s="107"/>
      <c r="L20" s="107"/>
      <c r="M20" s="108"/>
      <c r="N20" s="109"/>
      <c r="O20" s="110">
        <f>IF(E20="","",IF(E20&lt;F20,F20-E20,F20-E20+1)*24)</f>
      </c>
      <c r="P20" s="110">
        <f>IF(E20="","",IF(O20-G20&gt;10,"Arbeitszeit prüfen",SUM(O20-G20)))</f>
      </c>
      <c r="Q20" s="112" t="s">
        <v>44</v>
      </c>
      <c r="R20" s="113" t="s">
        <v>45</v>
      </c>
      <c r="S20" s="114"/>
      <c r="T20" s="113" t="s">
        <v>51</v>
      </c>
      <c r="U20" s="114"/>
      <c r="V20" s="115">
        <v>212503964</v>
      </c>
      <c r="W20" s="114" t="s">
        <v>47</v>
      </c>
      <c r="X20" s="118" t="s">
        <v>52</v>
      </c>
    </row>
    <row x14ac:dyDescent="0.25" r="21" customHeight="1" ht="30.899999999999995">
      <c r="A21" s="117" t="s">
        <v>58</v>
      </c>
      <c r="B21" s="102"/>
      <c r="C21" s="102"/>
      <c r="D21" s="103"/>
      <c r="E21" s="104"/>
      <c r="F21" s="104"/>
      <c r="G21" s="105">
        <f>IF(E21="","",IF(E21&lt;F21,IF((F21-E21)*24&gt;9.5,0.75,IF((F21-E21)*24&gt;6,0.5,0)),IF((F21-E21+1)*24&gt;9.5,0.75,IF((F21-E21+1)*24&gt;6,0.5,0))))</f>
      </c>
      <c r="H21" s="106"/>
      <c r="I21" s="107"/>
      <c r="J21" s="107" t="s">
        <v>50</v>
      </c>
      <c r="K21" s="107"/>
      <c r="L21" s="107"/>
      <c r="M21" s="108"/>
      <c r="N21" s="109"/>
      <c r="O21" s="110">
        <f>IF(E21="","",IF(E21&lt;F21,F21-E21,F21-E21+1)*24)</f>
      </c>
      <c r="P21" s="110">
        <f>IF(E21="","",IF(O21-G21&gt;10,"Arbeitszeit prüfen",SUM(O21-G21)))</f>
      </c>
      <c r="Q21" s="112" t="s">
        <v>44</v>
      </c>
      <c r="R21" s="113" t="s">
        <v>45</v>
      </c>
      <c r="S21" s="114"/>
      <c r="T21" s="113" t="s">
        <v>51</v>
      </c>
      <c r="U21" s="114"/>
      <c r="V21" s="115">
        <v>212506706</v>
      </c>
      <c r="W21" s="114" t="s">
        <v>47</v>
      </c>
      <c r="X21" s="118" t="s">
        <v>52</v>
      </c>
    </row>
    <row x14ac:dyDescent="0.25" r="22" customHeight="1" ht="30.899999999999995">
      <c r="A22" s="117" t="s">
        <v>61</v>
      </c>
      <c r="B22" s="102"/>
      <c r="C22" s="102"/>
      <c r="D22" s="103"/>
      <c r="E22" s="104">
        <v>1.3541666666666667</v>
      </c>
      <c r="F22" s="104">
        <v>1.6458333333333335</v>
      </c>
      <c r="G22" s="105">
        <f>IF(E22="","",IF(E22&lt;F22,IF((F22-E22)*24&gt;9.5,0.75,IF((F22-E22)*24&gt;6,0.5,0)),IF((F22-E22+1)*24&gt;9.5,0.75,IF((F22-E22+1)*24&gt;6,0.5,0))))</f>
      </c>
      <c r="H22" s="106"/>
      <c r="I22" s="107"/>
      <c r="J22" s="107"/>
      <c r="K22" s="107">
        <v>1.5</v>
      </c>
      <c r="L22" s="107"/>
      <c r="M22" s="108"/>
      <c r="N22" s="109"/>
      <c r="O22" s="111">
        <f>IF(E22="","",IF(E22&lt;F22,F22-E22,F22-E22+1)*24)</f>
      </c>
      <c r="P22" s="110">
        <f>IF(E22="","",IF(O22-G22&gt;10,"Arbeitszeit prüfen",SUM(O22-G22)))</f>
      </c>
      <c r="Q22" s="112" t="s">
        <v>44</v>
      </c>
      <c r="R22" s="113" t="s">
        <v>45</v>
      </c>
      <c r="S22" s="114"/>
      <c r="T22" s="113" t="s">
        <v>46</v>
      </c>
      <c r="U22" s="114"/>
      <c r="V22" s="115"/>
      <c r="W22" s="114" t="s">
        <v>47</v>
      </c>
      <c r="X22" s="118" t="s">
        <v>48</v>
      </c>
    </row>
    <row x14ac:dyDescent="0.25" r="23" customHeight="1" ht="30.899999999999995">
      <c r="A23" s="117" t="s">
        <v>62</v>
      </c>
      <c r="B23" s="102"/>
      <c r="C23" s="102"/>
      <c r="D23" s="103"/>
      <c r="E23" s="104"/>
      <c r="F23" s="104"/>
      <c r="G23" s="105">
        <f>IF(E23="","",IF(E23&lt;F23,IF((F23-E23)*24&gt;9.5,0.75,IF((F23-E23)*24&gt;6,0.5,0)),IF((F23-E23+1)*24&gt;9.5,0.75,IF((F23-E23+1)*24&gt;6,0.5,0))))</f>
      </c>
      <c r="H23" s="106"/>
      <c r="I23" s="107"/>
      <c r="J23" s="107"/>
      <c r="K23" s="107" t="s">
        <v>50</v>
      </c>
      <c r="L23" s="107"/>
      <c r="M23" s="108"/>
      <c r="N23" s="109"/>
      <c r="O23" s="110">
        <f>IF(E23="","",IF(E23&lt;F23,F23-E23,F23-E23+1)*24)</f>
      </c>
      <c r="P23" s="110">
        <f>IF(E23="","",IF(O23-G23&gt;10,"Arbeitszeit prüfen",SUM(O23-G23)))</f>
      </c>
      <c r="Q23" s="112" t="s">
        <v>44</v>
      </c>
      <c r="R23" s="113" t="s">
        <v>45</v>
      </c>
      <c r="S23" s="114"/>
      <c r="T23" s="113" t="s">
        <v>51</v>
      </c>
      <c r="U23" s="114"/>
      <c r="V23" s="115">
        <v>212515155</v>
      </c>
      <c r="W23" s="114" t="s">
        <v>47</v>
      </c>
      <c r="X23" s="118" t="s">
        <v>52</v>
      </c>
    </row>
    <row x14ac:dyDescent="0.25" r="24" customHeight="1" ht="30.899999999999995">
      <c r="A24" s="117" t="s">
        <v>63</v>
      </c>
      <c r="B24" s="102"/>
      <c r="C24" s="102"/>
      <c r="D24" s="103"/>
      <c r="E24" s="104"/>
      <c r="F24" s="104"/>
      <c r="G24" s="105">
        <f>IF(E24="","",IF(E24&lt;F24,IF((F24-E24)*24&gt;9.5,0.75,IF((F24-E24)*24&gt;6,0.5,0)),IF((F24-E24+1)*24&gt;9.5,0.75,IF((F24-E24+1)*24&gt;6,0.5,0))))</f>
      </c>
      <c r="H24" s="106"/>
      <c r="I24" s="107"/>
      <c r="J24" s="107"/>
      <c r="K24" s="107" t="s">
        <v>50</v>
      </c>
      <c r="L24" s="107"/>
      <c r="M24" s="108"/>
      <c r="N24" s="109"/>
      <c r="O24" s="110">
        <f>IF(E24="","",IF(E24&lt;F24,F24-E24,F24-E24+1)*24)</f>
      </c>
      <c r="P24" s="110">
        <f>IF(E24="","",IF(O24-G24&gt;10,"Arbeitszeit prüfen",SUM(O24-G24)))</f>
      </c>
      <c r="Q24" s="112" t="s">
        <v>44</v>
      </c>
      <c r="R24" s="113" t="s">
        <v>45</v>
      </c>
      <c r="S24" s="114"/>
      <c r="T24" s="113" t="s">
        <v>51</v>
      </c>
      <c r="U24" s="114"/>
      <c r="V24" s="115">
        <v>212515212</v>
      </c>
      <c r="W24" s="114" t="s">
        <v>47</v>
      </c>
      <c r="X24" s="118" t="s">
        <v>52</v>
      </c>
    </row>
    <row x14ac:dyDescent="0.25" r="25" customHeight="1" ht="30.899999999999995">
      <c r="A25" s="117" t="s">
        <v>64</v>
      </c>
      <c r="B25" s="102"/>
      <c r="C25" s="102"/>
      <c r="D25" s="103"/>
      <c r="E25" s="104">
        <v>1.2916666666666667</v>
      </c>
      <c r="F25" s="104">
        <v>1.5833333333333335</v>
      </c>
      <c r="G25" s="105">
        <f>IF(E25="","",IF(E25&lt;F25,IF((F25-E25)*24&gt;9.5,0.75,IF((F25-E25)*24&gt;6,0.5,0)),IF((F25-E25+1)*24&gt;9.5,0.75,IF((F25-E25+1)*24&gt;6,0.5,0))))</f>
      </c>
      <c r="H25" s="106"/>
      <c r="I25" s="107"/>
      <c r="J25" s="107"/>
      <c r="K25" s="107"/>
      <c r="L25" s="119" t="s">
        <v>50</v>
      </c>
      <c r="M25" s="108"/>
      <c r="N25" s="109"/>
      <c r="O25" s="111">
        <f>IF(E25="","",IF(E25&lt;F25,F25-E25,F25-E25+1)*24)</f>
      </c>
      <c r="P25" s="110">
        <f>IF(E25="","",IF(O25-G25&gt;10,"Arbeitszeit prüfen",SUM(O25-G25)))</f>
      </c>
      <c r="Q25" s="112" t="s">
        <v>44</v>
      </c>
      <c r="R25" s="113" t="s">
        <v>45</v>
      </c>
      <c r="S25" s="114"/>
      <c r="T25" s="113" t="s">
        <v>51</v>
      </c>
      <c r="U25" s="114"/>
      <c r="V25" s="115">
        <v>212510243</v>
      </c>
      <c r="W25" s="114" t="s">
        <v>47</v>
      </c>
      <c r="X25" s="118" t="s">
        <v>52</v>
      </c>
    </row>
    <row x14ac:dyDescent="0.25" r="26" customHeight="1" ht="30.899999999999995">
      <c r="A26" s="117" t="s">
        <v>65</v>
      </c>
      <c r="B26" s="102"/>
      <c r="C26" s="102"/>
      <c r="D26" s="103"/>
      <c r="E26" s="104"/>
      <c r="F26" s="104"/>
      <c r="G26" s="105">
        <f>IF(E26="","",IF(E26&lt;F26,IF((F26-E26)*24&gt;9.5,0.75,IF((F26-E26)*24&gt;6,0.5,0)),IF((F26-E26+1)*24&gt;9.5,0.75,IF((F26-E26+1)*24&gt;6,0.5,0))))</f>
      </c>
      <c r="H26" s="106"/>
      <c r="I26" s="107"/>
      <c r="J26" s="107"/>
      <c r="K26" s="107"/>
      <c r="L26" s="119" t="s">
        <v>50</v>
      </c>
      <c r="M26" s="108"/>
      <c r="N26" s="109"/>
      <c r="O26" s="110">
        <f>IF(E26="","",IF(E26&lt;F26,F26-E26,F26-E26+1)*24)</f>
      </c>
      <c r="P26" s="110">
        <f>IF(E26="","",IF(O26-G26&gt;10,"Arbeitszeit prüfen",SUM(O26-G26)))</f>
      </c>
      <c r="Q26" s="112" t="s">
        <v>44</v>
      </c>
      <c r="R26" s="113" t="s">
        <v>45</v>
      </c>
      <c r="S26" s="114"/>
      <c r="T26" s="113" t="s">
        <v>51</v>
      </c>
      <c r="U26" s="114"/>
      <c r="V26" s="115">
        <v>212509553</v>
      </c>
      <c r="W26" s="114" t="s">
        <v>47</v>
      </c>
      <c r="X26" s="118" t="s">
        <v>48</v>
      </c>
    </row>
    <row x14ac:dyDescent="0.25" r="27" customHeight="1" ht="30.899999999999995">
      <c r="A27" s="120"/>
      <c r="B27" s="102"/>
      <c r="C27" s="102"/>
      <c r="D27" s="103"/>
      <c r="E27" s="104"/>
      <c r="F27" s="104"/>
      <c r="G27" s="105">
        <f>IF(E27="","",IF(E27&lt;F27,IF((F27-E27)*24&gt;9.5,0.75,IF((F27-E27)*24&gt;6,0.5,0)),IF((F27-E27+1)*24&gt;9.5,0.75,IF((F27-E27+1)*24&gt;6,0.5,0))))</f>
      </c>
      <c r="H27" s="106"/>
      <c r="I27" s="107"/>
      <c r="J27" s="107"/>
      <c r="K27" s="107"/>
      <c r="L27" s="107"/>
      <c r="M27" s="108"/>
      <c r="N27" s="109"/>
      <c r="O27" s="110">
        <f>IF(E27="","",IF(E27&lt;F27,F27-E27,F27-E27+1)*24)</f>
      </c>
      <c r="P27" s="110">
        <f>IF(E27="","",IF(O27-G27&gt;10,"Arbeitszeit prüfen",SUM(O27-G27)))</f>
      </c>
      <c r="Q27" s="121"/>
      <c r="R27" s="114"/>
      <c r="S27" s="114"/>
      <c r="T27" s="113"/>
      <c r="U27" s="114"/>
      <c r="V27" s="115"/>
      <c r="W27" s="114"/>
      <c r="X27" s="118"/>
    </row>
    <row x14ac:dyDescent="0.25" r="28" customHeight="1" ht="30.899999999999995">
      <c r="A28" s="120"/>
      <c r="B28" s="102"/>
      <c r="C28" s="102"/>
      <c r="D28" s="103"/>
      <c r="E28" s="104"/>
      <c r="F28" s="104"/>
      <c r="G28" s="105">
        <f>IF(E28="","",IF(E28&lt;F28,IF((F28-E28)*24&gt;9.5,0.75,IF((F28-E28)*24&gt;6,0.5,0)),IF((F28-E28+1)*24&gt;9.5,0.75,IF((F28-E28+1)*24&gt;6,0.5,0))))</f>
      </c>
      <c r="H28" s="106"/>
      <c r="I28" s="107"/>
      <c r="J28" s="107"/>
      <c r="K28" s="107"/>
      <c r="L28" s="107"/>
      <c r="M28" s="108"/>
      <c r="N28" s="109"/>
      <c r="O28" s="110">
        <f>IF(E28="","",IF(E28&lt;F28,F28-E28,F28-E28+1)*24)</f>
      </c>
      <c r="P28" s="110">
        <f>IF(E28="","",IF(O28-G28&gt;10,"Arbeitszeit prüfen",SUM(O28-G28)))</f>
      </c>
      <c r="Q28" s="121"/>
      <c r="R28" s="114"/>
      <c r="S28" s="114"/>
      <c r="T28" s="113"/>
      <c r="U28" s="114"/>
      <c r="V28" s="115"/>
      <c r="W28" s="114"/>
      <c r="X28" s="118"/>
    </row>
    <row x14ac:dyDescent="0.25" r="29" customHeight="1" ht="30.899999999999995">
      <c r="A29" s="120"/>
      <c r="B29" s="102"/>
      <c r="C29" s="102"/>
      <c r="D29" s="103"/>
      <c r="E29" s="104"/>
      <c r="F29" s="104"/>
      <c r="G29" s="105">
        <f>IF(E29="","",IF(E29&lt;F29,IF((F29-E29)*24&gt;9.5,0.75,IF((F29-E29)*24&gt;6,0.5,0)),IF((F29-E29+1)*24&gt;9.5,0.75,IF((F29-E29+1)*24&gt;6,0.5,0))))</f>
      </c>
      <c r="H29" s="106"/>
      <c r="I29" s="107"/>
      <c r="J29" s="107"/>
      <c r="K29" s="107"/>
      <c r="L29" s="107"/>
      <c r="M29" s="108"/>
      <c r="N29" s="109"/>
      <c r="O29" s="110">
        <f>IF(E29="","",IF(E29&lt;F29,F29-E29,F29-E29+1)*24)</f>
      </c>
      <c r="P29" s="110">
        <f>IF(E29="","",IF(O29-G29&gt;10,"Arbeitszeit prüfen",SUM(O29-G29)))</f>
      </c>
      <c r="Q29" s="121"/>
      <c r="R29" s="114"/>
      <c r="S29" s="114"/>
      <c r="T29" s="113"/>
      <c r="U29" s="114"/>
      <c r="V29" s="115"/>
      <c r="W29" s="114"/>
      <c r="X29" s="118"/>
    </row>
    <row x14ac:dyDescent="0.25" r="30" customHeight="1" ht="30.899999999999995">
      <c r="A30" s="120"/>
      <c r="B30" s="102"/>
      <c r="C30" s="102"/>
      <c r="D30" s="103"/>
      <c r="E30" s="104"/>
      <c r="F30" s="104"/>
      <c r="G30" s="105">
        <f>IF(E30="","",IF(E30&lt;F30,IF((F30-E30)*24&gt;9.5,0.75,IF((F30-E30)*24&gt;6,0.5,0)),IF((F30-E30+1)*24&gt;9.5,0.75,IF((F30-E30+1)*24&gt;6,0.5,0))))</f>
      </c>
      <c r="H30" s="106"/>
      <c r="I30" s="107"/>
      <c r="J30" s="107"/>
      <c r="K30" s="107"/>
      <c r="L30" s="107"/>
      <c r="M30" s="108"/>
      <c r="N30" s="109"/>
      <c r="O30" s="110">
        <f>IF(E30="","",IF(E30&lt;F30,F30-E30,F30-E30+1)*24)</f>
      </c>
      <c r="P30" s="110">
        <f>IF(E30="","",IF(O30-G30&gt;10,"Arbeitszeit prüfen",SUM(O30-G30)))</f>
      </c>
      <c r="Q30" s="121"/>
      <c r="R30" s="114"/>
      <c r="S30" s="114"/>
      <c r="T30" s="113"/>
      <c r="U30" s="114"/>
      <c r="V30" s="115"/>
      <c r="W30" s="114"/>
      <c r="X30" s="118"/>
    </row>
    <row x14ac:dyDescent="0.25" r="31" customHeight="1" ht="30.899999999999995">
      <c r="A31" s="120"/>
      <c r="B31" s="102"/>
      <c r="C31" s="102"/>
      <c r="D31" s="103"/>
      <c r="E31" s="104"/>
      <c r="F31" s="104"/>
      <c r="G31" s="105">
        <f>IF(E31="","",IF(E31&lt;F31,IF((F31-E31)*24&gt;9.5,0.75,IF((F31-E31)*24&gt;6,0.5,0)),IF((F31-E31+1)*24&gt;9.5,0.75,IF((F31-E31+1)*24&gt;6,0.5,0))))</f>
      </c>
      <c r="H31" s="106"/>
      <c r="I31" s="107"/>
      <c r="J31" s="107"/>
      <c r="K31" s="107"/>
      <c r="L31" s="107"/>
      <c r="M31" s="108"/>
      <c r="N31" s="109"/>
      <c r="O31" s="110">
        <f>IF(E31="","",IF(E31&lt;F31,F31-E31,F31-E31+1)*24)</f>
      </c>
      <c r="P31" s="110">
        <f>IF(E31="","",IF(O31-G31&gt;10,"Arbeitszeit prüfen",SUM(O31-G31)))</f>
      </c>
      <c r="Q31" s="121"/>
      <c r="R31" s="114"/>
      <c r="S31" s="114"/>
      <c r="T31" s="113"/>
      <c r="U31" s="114"/>
      <c r="V31" s="115"/>
      <c r="W31" s="114"/>
      <c r="X31" s="118"/>
    </row>
    <row x14ac:dyDescent="0.25" r="32" customHeight="1" ht="30.899999999999995">
      <c r="A32" s="120"/>
      <c r="B32" s="102"/>
      <c r="C32" s="102"/>
      <c r="D32" s="103"/>
      <c r="E32" s="104"/>
      <c r="F32" s="104"/>
      <c r="G32" s="105">
        <f>IF(E32="","",IF(E32&lt;F32,IF((F32-E32)*24&gt;9.5,0.75,IF((F32-E32)*24&gt;6,0.5,0)),IF((F32-E32+1)*24&gt;9.5,0.75,IF((F32-E32+1)*24&gt;6,0.5,0))))</f>
      </c>
      <c r="H32" s="106"/>
      <c r="I32" s="107"/>
      <c r="J32" s="107"/>
      <c r="K32" s="107"/>
      <c r="L32" s="107"/>
      <c r="M32" s="108"/>
      <c r="N32" s="109"/>
      <c r="O32" s="110">
        <f>IF(E32="","",IF(E32&lt;F32,F32-E32,F32-E32+1)*24)</f>
      </c>
      <c r="P32" s="110">
        <f>IF(E32="","",IF(O32-G32&gt;10,"Arbeitszeit prüfen",SUM(O32-G32)))</f>
      </c>
      <c r="Q32" s="121"/>
      <c r="R32" s="114"/>
      <c r="S32" s="114"/>
      <c r="T32" s="113"/>
      <c r="U32" s="114"/>
      <c r="V32" s="115"/>
      <c r="W32" s="114"/>
      <c r="X32" s="118"/>
    </row>
    <row x14ac:dyDescent="0.25" r="33" customHeight="1" ht="30.899999999999995">
      <c r="A33" s="120"/>
      <c r="B33" s="102"/>
      <c r="C33" s="102"/>
      <c r="D33" s="103"/>
      <c r="E33" s="104"/>
      <c r="F33" s="104"/>
      <c r="G33" s="105">
        <f>IF(E33="","",IF(E33&lt;F33,IF((F33-E33)*24&gt;9.5,0.75,IF((F33-E33)*24&gt;6,0.5,0)),IF((F33-E33+1)*24&gt;9.5,0.75,IF((F33-E33+1)*24&gt;6,0.5,0))))</f>
      </c>
      <c r="H33" s="106"/>
      <c r="I33" s="107"/>
      <c r="J33" s="107"/>
      <c r="K33" s="107"/>
      <c r="L33" s="107"/>
      <c r="M33" s="108"/>
      <c r="N33" s="109"/>
      <c r="O33" s="110">
        <f>IF(E33="","",IF(E33&lt;F33,F33-E33,F33-E33+1)*24)</f>
      </c>
      <c r="P33" s="110">
        <f>IF(E33="","",IF(O33-G33&gt;10,"Arbeitszeit prüfen",SUM(O33-G33)))</f>
      </c>
      <c r="Q33" s="121"/>
      <c r="R33" s="114"/>
      <c r="S33" s="114"/>
      <c r="T33" s="113"/>
      <c r="U33" s="114"/>
      <c r="V33" s="115"/>
      <c r="W33" s="114"/>
      <c r="X33" s="118"/>
    </row>
    <row x14ac:dyDescent="0.25" r="34" customHeight="1" ht="30.899999999999995">
      <c r="A34" s="120"/>
      <c r="B34" s="102"/>
      <c r="C34" s="102"/>
      <c r="D34" s="103"/>
      <c r="E34" s="104"/>
      <c r="F34" s="104"/>
      <c r="G34" s="105">
        <f>IF(E34="","",IF(E34&lt;F34,IF((F34-E34)*24&gt;9.5,0.75,IF((F34-E34)*24&gt;6,0.5,0)),IF((F34-E34+1)*24&gt;9.5,0.75,IF((F34-E34+1)*24&gt;6,0.5,0))))</f>
      </c>
      <c r="H34" s="106"/>
      <c r="I34" s="107"/>
      <c r="J34" s="107"/>
      <c r="K34" s="107"/>
      <c r="L34" s="107"/>
      <c r="M34" s="108"/>
      <c r="N34" s="109"/>
      <c r="O34" s="110">
        <f>IF(E34="","",IF(E34&lt;F34,F34-E34,F34-E34+1)*24)</f>
      </c>
      <c r="P34" s="110">
        <f>IF(E34="","",IF(O34-G34&gt;10,"Arbeitszeit prüfen",SUM(O34-G34)))</f>
      </c>
      <c r="Q34" s="121"/>
      <c r="R34" s="114"/>
      <c r="S34" s="114"/>
      <c r="T34" s="113"/>
      <c r="U34" s="114"/>
      <c r="V34" s="115"/>
      <c r="W34" s="114"/>
      <c r="X34" s="118"/>
    </row>
    <row x14ac:dyDescent="0.25" r="35" customHeight="1" ht="30.899999999999995">
      <c r="A35" s="120"/>
      <c r="B35" s="102"/>
      <c r="C35" s="102"/>
      <c r="D35" s="103"/>
      <c r="E35" s="104"/>
      <c r="F35" s="104"/>
      <c r="G35" s="105">
        <f>IF(E35="","",IF(E35&lt;F35,IF((F35-E35)*24&gt;9.5,0.75,IF((F35-E35)*24&gt;6,0.5,0)),IF((F35-E35+1)*24&gt;9.5,0.75,IF((F35-E35+1)*24&gt;6,0.5,0))))</f>
      </c>
      <c r="H35" s="106"/>
      <c r="I35" s="107"/>
      <c r="J35" s="107"/>
      <c r="K35" s="107"/>
      <c r="L35" s="107"/>
      <c r="M35" s="108"/>
      <c r="N35" s="109"/>
      <c r="O35" s="110">
        <f>IF(E35="","",IF(E35&lt;F35,F35-E35,F35-E35+1)*24)</f>
      </c>
      <c r="P35" s="110">
        <f>IF(E35="","",IF(O35-G35&gt;10,"Arbeitszeit prüfen",SUM(O35-G35)))</f>
      </c>
      <c r="Q35" s="121"/>
      <c r="R35" s="114"/>
      <c r="S35" s="114"/>
      <c r="T35" s="113"/>
      <c r="U35" s="114"/>
      <c r="V35" s="115"/>
      <c r="W35" s="114"/>
      <c r="X35" s="118"/>
    </row>
    <row x14ac:dyDescent="0.25" r="36" customHeight="1" ht="30.899999999999995">
      <c r="A36" s="120"/>
      <c r="B36" s="102"/>
      <c r="C36" s="102"/>
      <c r="D36" s="103"/>
      <c r="E36" s="104"/>
      <c r="F36" s="104"/>
      <c r="G36" s="105">
        <f>IF(E36="","",IF(E36&lt;F36,IF((F36-E36)*24&gt;9.5,0.75,IF((F36-E36)*24&gt;6,0.5,0)),IF((F36-E36+1)*24&gt;9.5,0.75,IF((F36-E36+1)*24&gt;6,0.5,0))))</f>
      </c>
      <c r="H36" s="106"/>
      <c r="I36" s="107"/>
      <c r="J36" s="107"/>
      <c r="K36" s="107"/>
      <c r="L36" s="107"/>
      <c r="M36" s="108"/>
      <c r="N36" s="109"/>
      <c r="O36" s="110">
        <f>IF(E36="","",IF(E36&lt;F36,F36-E36,F36-E36+1)*24)</f>
      </c>
      <c r="P36" s="110">
        <f>IF(E36="","",IF(O36-G36&gt;10,"Arbeitszeit prüfen",SUM(O36-G36)))</f>
      </c>
      <c r="Q36" s="121"/>
      <c r="R36" s="114"/>
      <c r="S36" s="114"/>
      <c r="T36" s="113"/>
      <c r="U36" s="114"/>
      <c r="V36" s="115"/>
      <c r="W36" s="114"/>
      <c r="X36" s="118"/>
    </row>
    <row x14ac:dyDescent="0.25" r="37" customHeight="1" ht="30.899999999999995">
      <c r="A37" s="120"/>
      <c r="B37" s="102"/>
      <c r="C37" s="102"/>
      <c r="D37" s="103"/>
      <c r="E37" s="104"/>
      <c r="F37" s="104"/>
      <c r="G37" s="105">
        <f>IF(E37="","",IF(E37&lt;F37,IF((F37-E37)*24&gt;9.5,0.75,IF((F37-E37)*24&gt;6,0.5,0)),IF((F37-E37+1)*24&gt;9.5,0.75,IF((F37-E37+1)*24&gt;6,0.5,0))))</f>
      </c>
      <c r="H37" s="106"/>
      <c r="I37" s="107"/>
      <c r="J37" s="107"/>
      <c r="K37" s="107"/>
      <c r="L37" s="107"/>
      <c r="M37" s="108"/>
      <c r="N37" s="109"/>
      <c r="O37" s="110">
        <f>IF(E37="","",IF(E37&lt;F37,F37-E37,F37-E37+1)*24)</f>
      </c>
      <c r="P37" s="110">
        <f>IF(E37="","",IF(O37-G37&gt;10,"Arbeitszeit prüfen",SUM(O37-G37)))</f>
      </c>
      <c r="Q37" s="121"/>
      <c r="R37" s="114"/>
      <c r="S37" s="114"/>
      <c r="T37" s="113"/>
      <c r="U37" s="114"/>
      <c r="V37" s="115"/>
      <c r="W37" s="114"/>
      <c r="X37" s="118"/>
    </row>
    <row x14ac:dyDescent="0.25" r="38" customHeight="1" ht="30.899999999999995">
      <c r="A38" s="120"/>
      <c r="B38" s="102"/>
      <c r="C38" s="102"/>
      <c r="D38" s="103"/>
      <c r="E38" s="104"/>
      <c r="F38" s="104"/>
      <c r="G38" s="105">
        <f>IF(E38="","",IF(E38&lt;F38,IF((F38-E38)*24&gt;9.5,0.75,IF((F38-E38)*24&gt;6,0.5,0)),IF((F38-E38+1)*24&gt;9.5,0.75,IF((F38-E38+1)*24&gt;6,0.5,0))))</f>
      </c>
      <c r="H38" s="106"/>
      <c r="I38" s="107"/>
      <c r="J38" s="107"/>
      <c r="K38" s="107"/>
      <c r="L38" s="107"/>
      <c r="M38" s="108"/>
      <c r="N38" s="109"/>
      <c r="O38" s="110">
        <f>IF(E38="","",IF(E38&lt;F38,F38-E38,F38-E38+1)*24)</f>
      </c>
      <c r="P38" s="110">
        <f>IF(E38="","",IF(O38-G38&gt;10,"Arbeitszeit prüfen",SUM(O38-G38)))</f>
      </c>
      <c r="Q38" s="121"/>
      <c r="R38" s="114"/>
      <c r="S38" s="114"/>
      <c r="T38" s="113"/>
      <c r="U38" s="114"/>
      <c r="V38" s="115"/>
      <c r="W38" s="114"/>
      <c r="X38" s="118"/>
    </row>
    <row x14ac:dyDescent="0.25" r="39" customHeight="1" ht="30.899999999999995">
      <c r="A39" s="120"/>
      <c r="B39" s="102"/>
      <c r="C39" s="102"/>
      <c r="D39" s="103"/>
      <c r="E39" s="104"/>
      <c r="F39" s="104"/>
      <c r="G39" s="105">
        <f>IF(E39="","",IF(E39&lt;F39,IF((F39-E39)*24&gt;9.5,0.75,IF((F39-E39)*24&gt;6,0.5,0)),IF((F39-E39+1)*24&gt;9.5,0.75,IF((F39-E39+1)*24&gt;6,0.5,0))))</f>
      </c>
      <c r="H39" s="106"/>
      <c r="I39" s="107"/>
      <c r="J39" s="107"/>
      <c r="K39" s="107"/>
      <c r="L39" s="107"/>
      <c r="M39" s="108"/>
      <c r="N39" s="109"/>
      <c r="O39" s="110">
        <f>IF(E39="","",IF(E39&lt;F39,F39-E39,F39-E39+1)*24)</f>
      </c>
      <c r="P39" s="110">
        <f>IF(E39="","",IF(O39-G39&gt;10,"Arbeitszeit prüfen",SUM(O39-G39)))</f>
      </c>
      <c r="Q39" s="121"/>
      <c r="R39" s="114"/>
      <c r="S39" s="114"/>
      <c r="T39" s="113"/>
      <c r="U39" s="114"/>
      <c r="V39" s="115"/>
      <c r="W39" s="114"/>
      <c r="X39" s="118"/>
    </row>
    <row x14ac:dyDescent="0.25" r="40" customHeight="1" ht="30.899999999999995">
      <c r="A40" s="120"/>
      <c r="B40" s="102"/>
      <c r="C40" s="102"/>
      <c r="D40" s="103"/>
      <c r="E40" s="104"/>
      <c r="F40" s="104"/>
      <c r="G40" s="105">
        <f>IF(E40="","",IF(E40&lt;F40,IF((F40-E40)*24&gt;9.5,0.75,IF((F40-E40)*24&gt;6,0.5,0)),IF((F40-E40+1)*24&gt;9.5,0.75,IF((F40-E40+1)*24&gt;6,0.5,0))))</f>
      </c>
      <c r="H40" s="106"/>
      <c r="I40" s="107"/>
      <c r="J40" s="107"/>
      <c r="K40" s="107"/>
      <c r="L40" s="107"/>
      <c r="M40" s="108"/>
      <c r="N40" s="109"/>
      <c r="O40" s="110">
        <f>IF(E40="","",IF(E40&lt;F40,F40-E40,F40-E40+1)*24)</f>
      </c>
      <c r="P40" s="110">
        <f>IF(E40="","",IF(O40-G40&gt;10,"Arbeitszeit prüfen",SUM(O40-G40)))</f>
      </c>
      <c r="Q40" s="121"/>
      <c r="R40" s="114"/>
      <c r="S40" s="114"/>
      <c r="T40" s="113"/>
      <c r="U40" s="114"/>
      <c r="V40" s="115"/>
      <c r="W40" s="114"/>
      <c r="X40" s="118"/>
    </row>
    <row x14ac:dyDescent="0.25" r="41" customHeight="1" ht="30.899999999999995">
      <c r="A41" s="120"/>
      <c r="B41" s="102"/>
      <c r="C41" s="102"/>
      <c r="D41" s="103"/>
      <c r="E41" s="104"/>
      <c r="F41" s="104"/>
      <c r="G41" s="105">
        <f>IF(E41="","",IF(E41&lt;F41,IF((F41-E41)*24&gt;9.5,0.75,IF((F41-E41)*24&gt;6,0.5,0)),IF((F41-E41+1)*24&gt;9.5,0.75,IF((F41-E41+1)*24&gt;6,0.5,0))))</f>
      </c>
      <c r="H41" s="106"/>
      <c r="I41" s="107"/>
      <c r="J41" s="107"/>
      <c r="K41" s="107"/>
      <c r="L41" s="107"/>
      <c r="M41" s="108"/>
      <c r="N41" s="109"/>
      <c r="O41" s="110">
        <f>IF(E41="","",IF(E41&lt;F41,F41-E41,F41-E41+1)*24)</f>
      </c>
      <c r="P41" s="110">
        <f>IF(E41="","",IF(O41-G41&gt;10,"Arbeitszeit prüfen",SUM(O41-G41)))</f>
      </c>
      <c r="Q41" s="121"/>
      <c r="R41" s="114"/>
      <c r="S41" s="114"/>
      <c r="T41" s="113"/>
      <c r="U41" s="114"/>
      <c r="V41" s="115"/>
      <c r="W41" s="114"/>
      <c r="X41" s="118"/>
    </row>
    <row x14ac:dyDescent="0.25" r="42" customHeight="1" ht="30.899999999999995">
      <c r="A42" s="120"/>
      <c r="B42" s="102"/>
      <c r="C42" s="102"/>
      <c r="D42" s="103"/>
      <c r="E42" s="104"/>
      <c r="F42" s="104"/>
      <c r="G42" s="105">
        <f>IF(E42="","",IF(E42&lt;F42,IF((F42-E42)*24&gt;9.5,0.75,IF((F42-E42)*24&gt;6,0.5,0)),IF((F42-E42+1)*24&gt;9.5,0.75,IF((F42-E42+1)*24&gt;6,0.5,0))))</f>
      </c>
      <c r="H42" s="106"/>
      <c r="I42" s="107"/>
      <c r="J42" s="107"/>
      <c r="K42" s="107"/>
      <c r="L42" s="107"/>
      <c r="M42" s="108"/>
      <c r="N42" s="109"/>
      <c r="O42" s="110">
        <f>IF(E42="","",IF(E42&lt;F42,F42-E42,F42-E42+1)*24)</f>
      </c>
      <c r="P42" s="110">
        <f>IF(E42="","",IF(O42-G42&gt;10,"Arbeitszeit prüfen",SUM(O42-G42)))</f>
      </c>
      <c r="Q42" s="121"/>
      <c r="R42" s="114"/>
      <c r="S42" s="114"/>
      <c r="T42" s="113"/>
      <c r="U42" s="114"/>
      <c r="V42" s="115"/>
      <c r="W42" s="114"/>
      <c r="X42" s="118"/>
    </row>
    <row x14ac:dyDescent="0.25" r="43" customHeight="1" ht="30.899999999999995">
      <c r="A43" s="120"/>
      <c r="B43" s="102"/>
      <c r="C43" s="102"/>
      <c r="D43" s="103"/>
      <c r="E43" s="104"/>
      <c r="F43" s="104"/>
      <c r="G43" s="105">
        <f>IF(E43="","",IF(E43&lt;F43,IF((F43-E43)*24&gt;9.5,0.75,IF((F43-E43)*24&gt;6,0.5,0)),IF((F43-E43+1)*24&gt;9.5,0.75,IF((F43-E43+1)*24&gt;6,0.5,0))))</f>
      </c>
      <c r="H43" s="106"/>
      <c r="I43" s="107"/>
      <c r="J43" s="107"/>
      <c r="K43" s="107"/>
      <c r="L43" s="107"/>
      <c r="M43" s="108"/>
      <c r="N43" s="109"/>
      <c r="O43" s="110">
        <f>IF(E43="","",IF(E43&lt;F43,F43-E43,F43-E43+1)*24)</f>
      </c>
      <c r="P43" s="110">
        <f>IF(E43="","",IF(O43-G43&gt;10,"Arbeitszeit prüfen",SUM(O43-G43)))</f>
      </c>
      <c r="Q43" s="121"/>
      <c r="R43" s="114"/>
      <c r="S43" s="114"/>
      <c r="T43" s="113"/>
      <c r="U43" s="114"/>
      <c r="V43" s="115"/>
      <c r="W43" s="114"/>
      <c r="X43" s="118"/>
    </row>
    <row x14ac:dyDescent="0.25" r="44" customHeight="1" ht="30.899999999999995">
      <c r="A44" s="120"/>
      <c r="B44" s="102"/>
      <c r="C44" s="102"/>
      <c r="D44" s="103"/>
      <c r="E44" s="104"/>
      <c r="F44" s="104"/>
      <c r="G44" s="105">
        <f>IF(E44="","",IF(E44&lt;F44,IF((F44-E44)*24&gt;9.5,0.75,IF((F44-E44)*24&gt;6,0.5,0)),IF((F44-E44+1)*24&gt;9.5,0.75,IF((F44-E44+1)*24&gt;6,0.5,0))))</f>
      </c>
      <c r="H44" s="106"/>
      <c r="I44" s="107"/>
      <c r="J44" s="107"/>
      <c r="K44" s="107"/>
      <c r="L44" s="107"/>
      <c r="M44" s="108"/>
      <c r="N44" s="109"/>
      <c r="O44" s="110">
        <f>IF(E44="","",IF(E44&lt;F44,F44-E44,F44-E44+1)*24)</f>
      </c>
      <c r="P44" s="110">
        <f>IF(E44="","",IF(O44-G44&gt;10,"Arbeitszeit prüfen",SUM(O44-G44)))</f>
      </c>
      <c r="Q44" s="121"/>
      <c r="R44" s="114"/>
      <c r="S44" s="114"/>
      <c r="T44" s="113"/>
      <c r="U44" s="114"/>
      <c r="V44" s="115"/>
      <c r="W44" s="114"/>
      <c r="X44" s="118"/>
    </row>
    <row x14ac:dyDescent="0.25" r="45" customHeight="1" ht="30.899999999999995">
      <c r="A45" s="120"/>
      <c r="B45" s="102"/>
      <c r="C45" s="102"/>
      <c r="D45" s="103"/>
      <c r="E45" s="104"/>
      <c r="F45" s="104"/>
      <c r="G45" s="105">
        <f>IF(E45="","",IF(E45&lt;F45,IF((F45-E45)*24&gt;9.5,0.75,IF((F45-E45)*24&gt;6,0.5,0)),IF((F45-E45+1)*24&gt;9.5,0.75,IF((F45-E45+1)*24&gt;6,0.5,0))))</f>
      </c>
      <c r="H45" s="106"/>
      <c r="I45" s="107"/>
      <c r="J45" s="107"/>
      <c r="K45" s="107"/>
      <c r="L45" s="107"/>
      <c r="M45" s="108"/>
      <c r="N45" s="109"/>
      <c r="O45" s="110">
        <f>IF(E45="","",IF(E45&lt;F45,F45-E45,F45-E45+1)*24)</f>
      </c>
      <c r="P45" s="110">
        <f>IF(E45="","",IF(O45-G45&gt;10,"Arbeitszeit prüfen",SUM(O45-G45)))</f>
      </c>
      <c r="Q45" s="121"/>
      <c r="R45" s="114"/>
      <c r="S45" s="114"/>
      <c r="T45" s="113"/>
      <c r="U45" s="114"/>
      <c r="V45" s="115"/>
      <c r="W45" s="114"/>
      <c r="X45" s="118"/>
    </row>
    <row x14ac:dyDescent="0.25" r="46" customHeight="1" ht="30.899999999999995">
      <c r="A46" s="120"/>
      <c r="B46" s="102"/>
      <c r="C46" s="102"/>
      <c r="D46" s="103"/>
      <c r="E46" s="104"/>
      <c r="F46" s="104"/>
      <c r="G46" s="105">
        <f>IF(E46="","",IF(E46&lt;F46,IF((F46-E46)*24&gt;9.5,0.75,IF((F46-E46)*24&gt;6,0.5,0)),IF((F46-E46+1)*24&gt;9.5,0.75,IF((F46-E46+1)*24&gt;6,0.5,0))))</f>
      </c>
      <c r="H46" s="106"/>
      <c r="I46" s="107"/>
      <c r="J46" s="107"/>
      <c r="K46" s="107"/>
      <c r="L46" s="107"/>
      <c r="M46" s="108"/>
      <c r="N46" s="109"/>
      <c r="O46" s="110">
        <f>IF(E46="","",IF(E46&lt;F46,F46-E46,F46-E46+1)*24)</f>
      </c>
      <c r="P46" s="110">
        <f>IF(E46="","",IF(O46-G46&gt;10,"Arbeitszeit prüfen",SUM(O46-G46)))</f>
      </c>
      <c r="Q46" s="121"/>
      <c r="R46" s="114"/>
      <c r="S46" s="114"/>
      <c r="T46" s="113"/>
      <c r="U46" s="114"/>
      <c r="V46" s="115"/>
      <c r="W46" s="114"/>
      <c r="X46" s="118"/>
    </row>
    <row x14ac:dyDescent="0.25" r="47" customHeight="1" ht="30.899999999999995">
      <c r="A47" s="120"/>
      <c r="B47" s="102"/>
      <c r="C47" s="102"/>
      <c r="D47" s="103"/>
      <c r="E47" s="104"/>
      <c r="F47" s="104"/>
      <c r="G47" s="105">
        <f>IF(E47="","",IF(E47&lt;F47,IF((F47-E47)*24&gt;9.5,0.75,IF((F47-E47)*24&gt;6,0.5,0)),IF((F47-E47+1)*24&gt;9.5,0.75,IF((F47-E47+1)*24&gt;6,0.5,0))))</f>
      </c>
      <c r="H47" s="106"/>
      <c r="I47" s="107"/>
      <c r="J47" s="107"/>
      <c r="K47" s="107"/>
      <c r="L47" s="107"/>
      <c r="M47" s="108"/>
      <c r="N47" s="109"/>
      <c r="O47" s="110">
        <f>IF(E47="","",IF(E47&lt;F47,F47-E47,F47-E47+1)*24)</f>
      </c>
      <c r="P47" s="110">
        <f>IF(E47="","",IF(O47-G47&gt;10,"Arbeitszeit prüfen",SUM(O47-G47)))</f>
      </c>
      <c r="Q47" s="121"/>
      <c r="R47" s="114"/>
      <c r="S47" s="114"/>
      <c r="T47" s="113"/>
      <c r="U47" s="114"/>
      <c r="V47" s="115"/>
      <c r="W47" s="114"/>
      <c r="X47" s="118"/>
    </row>
    <row x14ac:dyDescent="0.25" r="48" customHeight="1" ht="30.899999999999995">
      <c r="A48" s="120"/>
      <c r="B48" s="102"/>
      <c r="C48" s="102"/>
      <c r="D48" s="103"/>
      <c r="E48" s="104"/>
      <c r="F48" s="104"/>
      <c r="G48" s="105">
        <f>IF(E48="","",IF(E48&lt;F48,IF((F48-E48)*24&gt;9.5,0.75,IF((F48-E48)*24&gt;6,0.5,0)),IF((F48-E48+1)*24&gt;9.5,0.75,IF((F48-E48+1)*24&gt;6,0.5,0))))</f>
      </c>
      <c r="H48" s="106"/>
      <c r="I48" s="107"/>
      <c r="J48" s="107"/>
      <c r="K48" s="107"/>
      <c r="L48" s="107"/>
      <c r="M48" s="108"/>
      <c r="N48" s="109"/>
      <c r="O48" s="110">
        <f>IF(E48="","",IF(E48&lt;F48,F48-E48,F48-E48+1)*24)</f>
      </c>
      <c r="P48" s="110">
        <f>IF(E48="","",IF(O48-G48&gt;10,"Arbeitszeit prüfen",SUM(O48-G48)))</f>
      </c>
      <c r="Q48" s="121"/>
      <c r="R48" s="114"/>
      <c r="S48" s="114"/>
      <c r="T48" s="113"/>
      <c r="U48" s="114"/>
      <c r="V48" s="115"/>
      <c r="W48" s="114"/>
      <c r="X48" s="118"/>
    </row>
    <row x14ac:dyDescent="0.25" r="49" customHeight="1" ht="48">
      <c r="A49" s="120"/>
      <c r="B49" s="102"/>
      <c r="C49" s="102"/>
      <c r="D49" s="103"/>
      <c r="E49" s="104"/>
      <c r="F49" s="104"/>
      <c r="G49" s="105">
        <f>IF(E49="","",IF(E49&lt;F49,IF((F49-E49)*24&gt;9.5,0.75,IF((F49-E49)*24&gt;6,0.5,0)),IF((F49-E49+1)*24&gt;9.5,0.75,IF((F49-E49+1)*24&gt;6,0.5,0))))</f>
      </c>
      <c r="H49" s="106"/>
      <c r="I49" s="107"/>
      <c r="J49" s="107"/>
      <c r="K49" s="107"/>
      <c r="L49" s="107"/>
      <c r="M49" s="108"/>
      <c r="N49" s="109"/>
      <c r="O49" s="110">
        <f>IF(E49="","",IF(E49&lt;F49,F49-E49,F49-E49+1)*24)</f>
      </c>
      <c r="P49" s="110">
        <f>IF(E49="","",IF(O49-G49&gt;10,"Arbeitszeit prüfen",SUM(O49-G49)))</f>
      </c>
      <c r="Q49" s="121"/>
      <c r="R49" s="114"/>
      <c r="S49" s="114"/>
      <c r="T49" s="113"/>
      <c r="U49" s="114"/>
      <c r="V49" s="115"/>
      <c r="W49" s="114"/>
      <c r="X49" s="118"/>
    </row>
    <row x14ac:dyDescent="0.25" r="50" customHeight="1" ht="24">
      <c r="A50" s="122" t="s">
        <v>66</v>
      </c>
      <c r="B50" s="123"/>
      <c r="C50" s="123"/>
      <c r="D50" s="123"/>
      <c r="E50" s="124"/>
      <c r="F50" s="124"/>
      <c r="G50" s="124"/>
      <c r="H50" s="125"/>
      <c r="I50" s="126"/>
      <c r="J50" s="126"/>
      <c r="K50" s="126"/>
      <c r="L50" s="126"/>
      <c r="M50" s="127"/>
      <c r="N50" s="128"/>
      <c r="O50" s="129">
        <f>IF(SUM(O10:O49)&gt;0,SUM(O10:O49),"")</f>
      </c>
      <c r="P50" s="129">
        <f>IF(SUM(P10:P49)&gt;0,SUM(P10:P49),"")</f>
      </c>
      <c r="Q50" s="130"/>
      <c r="R50" s="131"/>
      <c r="S50" s="132"/>
      <c r="T50" s="133" t="s">
        <v>67</v>
      </c>
      <c r="U50" s="134" t="s">
        <v>68</v>
      </c>
      <c r="V50" s="135"/>
      <c r="W50" s="134"/>
      <c r="X50" s="136"/>
    </row>
    <row x14ac:dyDescent="0.25" r="51" customHeight="1" ht="23.25">
      <c r="A51" s="137"/>
      <c r="B51" s="138"/>
      <c r="C51" s="139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1"/>
      <c r="P51" s="142"/>
      <c r="Q51" s="143"/>
      <c r="R51" s="144"/>
      <c r="S51" s="145"/>
      <c r="T51" s="146" t="s">
        <v>69</v>
      </c>
      <c r="U51" s="147">
        <v>165874</v>
      </c>
      <c r="V51" s="148"/>
      <c r="W51" s="147"/>
      <c r="X51" s="149"/>
    </row>
    <row x14ac:dyDescent="0.25" r="52" customHeight="1" ht="22.5">
      <c r="A52" s="150"/>
      <c r="B52" s="151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3"/>
      <c r="P52" s="154"/>
      <c r="Q52" s="155" t="s">
        <v>70</v>
      </c>
      <c r="R52" s="156"/>
      <c r="S52" s="156"/>
      <c r="T52" s="156"/>
      <c r="U52" s="156"/>
      <c r="V52" s="156"/>
      <c r="W52" s="156"/>
      <c r="X52" s="157"/>
    </row>
    <row x14ac:dyDescent="0.25" r="53" customHeight="1" ht="21">
      <c r="A53" s="158" t="s">
        <v>71</v>
      </c>
      <c r="B53" s="159"/>
      <c r="C53" s="160" t="s">
        <v>72</v>
      </c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1"/>
      <c r="P53" s="162"/>
      <c r="Q53" s="163" t="s">
        <v>73</v>
      </c>
      <c r="R53" s="164"/>
      <c r="S53" s="164"/>
      <c r="T53" s="164"/>
      <c r="U53" s="164"/>
      <c r="V53" s="164"/>
      <c r="W53" s="164"/>
      <c r="X53" s="165"/>
    </row>
    <row x14ac:dyDescent="0.25" r="54" customHeight="1" ht="18.75">
      <c r="A54" s="166" t="s">
        <v>74</v>
      </c>
      <c r="B54" s="167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9"/>
    </row>
    <row x14ac:dyDescent="0.25" r="55" customHeight="1" ht="19.5">
      <c r="A55" s="170"/>
      <c r="B55" s="171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3"/>
    </row>
    <row x14ac:dyDescent="0.25" r="56" customHeight="1" ht="20.25">
      <c r="A56" s="174"/>
      <c r="B56" s="175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7"/>
    </row>
    <row x14ac:dyDescent="0.25" r="57" customHeight="1" ht="20.25">
      <c r="A57" s="171"/>
      <c r="B57" s="171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9"/>
    </row>
    <row x14ac:dyDescent="0.25" r="58" customHeight="1" ht="18.75">
      <c r="A58" s="180" t="s">
        <v>75</v>
      </c>
      <c r="B58" s="181"/>
      <c r="C58" s="181"/>
      <c r="D58" s="181"/>
      <c r="E58" s="182"/>
      <c r="F58" s="182"/>
      <c r="G58" s="183"/>
      <c r="H58" s="183"/>
      <c r="I58" s="183"/>
      <c r="J58" s="183"/>
      <c r="K58" s="183"/>
      <c r="L58" s="181"/>
      <c r="M58" s="181"/>
      <c r="N58" s="181"/>
      <c r="O58" s="183"/>
      <c r="P58" s="183"/>
      <c r="Q58" s="180"/>
      <c r="R58" s="184"/>
      <c r="S58" s="184"/>
      <c r="T58" s="184"/>
      <c r="U58" s="181"/>
      <c r="V58" s="185"/>
      <c r="W58" s="181"/>
      <c r="X58" s="186"/>
    </row>
    <row x14ac:dyDescent="0.25" r="59" customHeight="1" ht="18.75">
      <c r="A59" s="187" t="s">
        <v>76</v>
      </c>
      <c r="B59" s="188"/>
      <c r="C59" s="188"/>
      <c r="D59" s="188"/>
      <c r="E59" s="189"/>
      <c r="F59" s="189"/>
      <c r="G59" s="190"/>
      <c r="H59" s="190"/>
      <c r="I59" s="190"/>
      <c r="J59" s="190"/>
      <c r="K59" s="190"/>
      <c r="L59" s="188"/>
      <c r="M59" s="188"/>
      <c r="N59" s="188"/>
      <c r="O59" s="190"/>
      <c r="P59" s="190"/>
      <c r="Q59" s="187"/>
      <c r="R59" s="191"/>
      <c r="S59" s="191"/>
      <c r="T59" s="191"/>
      <c r="U59" s="188"/>
      <c r="V59" s="192"/>
      <c r="W59" s="188"/>
      <c r="X59" s="188"/>
    </row>
  </sheetData>
  <mergeCells count="84">
    <mergeCell ref="H1:J1"/>
    <mergeCell ref="L1:O1"/>
    <mergeCell ref="R1:U1"/>
    <mergeCell ref="V2:X2"/>
    <mergeCell ref="A3:C4"/>
    <mergeCell ref="D3:L4"/>
    <mergeCell ref="M3:O4"/>
    <mergeCell ref="P3:U4"/>
    <mergeCell ref="V3:V6"/>
    <mergeCell ref="W3:X3"/>
    <mergeCell ref="W4:X5"/>
    <mergeCell ref="A5:C5"/>
    <mergeCell ref="D5:U5"/>
    <mergeCell ref="A6:C6"/>
    <mergeCell ref="D6:U6"/>
    <mergeCell ref="W6:X6"/>
    <mergeCell ref="A7:D9"/>
    <mergeCell ref="H7:N7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E8:E9"/>
    <mergeCell ref="F8:F9"/>
    <mergeCell ref="G8:G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B52"/>
    <mergeCell ref="C51:O52"/>
    <mergeCell ref="Q52:X52"/>
    <mergeCell ref="A53:B53"/>
    <mergeCell ref="C53:O53"/>
    <mergeCell ref="Q53:X53"/>
    <mergeCell ref="A54:B56"/>
    <mergeCell ref="C54:X54"/>
    <mergeCell ref="C55:X55"/>
    <mergeCell ref="C56:X56"/>
    <mergeCell ref="A58:X58"/>
    <mergeCell ref="A59:X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6"/>
  <sheetViews>
    <sheetView workbookViewId="0"/>
  </sheetViews>
  <sheetFormatPr defaultRowHeight="15" x14ac:dyDescent="0.25"/>
  <cols>
    <col min="1" max="1" style="4" width="11.43357142857143" customWidth="1" bestFit="1"/>
    <col min="2" max="2" style="4" width="11.43357142857143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18.75">
      <c r="A1" s="1"/>
      <c r="B1" s="1"/>
      <c r="C1" s="2" t="s">
        <v>0</v>
      </c>
      <c r="D1" s="2"/>
    </row>
    <row x14ac:dyDescent="0.25" r="2" customHeight="1" ht="18.75">
      <c r="A2" s="1">
        <v>1.0104166666666667</v>
      </c>
      <c r="B2" s="1"/>
      <c r="C2" s="2" t="s">
        <v>1</v>
      </c>
      <c r="D2" s="2" t="s">
        <v>2</v>
      </c>
    </row>
    <row x14ac:dyDescent="0.25" r="3" customHeight="1" ht="18.75">
      <c r="A3" s="1">
        <v>1.0208333333333333</v>
      </c>
      <c r="B3" s="1"/>
      <c r="C3" s="2"/>
      <c r="D3" s="2"/>
    </row>
    <row x14ac:dyDescent="0.25" r="4" customHeight="1" ht="18.75">
      <c r="A4" s="1">
        <v>1.03125</v>
      </c>
      <c r="B4" s="1"/>
      <c r="C4" s="2"/>
      <c r="D4" s="2"/>
    </row>
    <row x14ac:dyDescent="0.25" r="5" customHeight="1" ht="18.75">
      <c r="A5" s="1">
        <v>1.0416666666666667</v>
      </c>
      <c r="B5" s="1"/>
      <c r="C5" s="3"/>
      <c r="D5" s="3"/>
    </row>
    <row x14ac:dyDescent="0.25" r="6" customHeight="1" ht="18.75">
      <c r="A6" s="1">
        <v>1.0520833333333333</v>
      </c>
      <c r="B6" s="1"/>
      <c r="C6" s="3"/>
      <c r="D6" s="3"/>
    </row>
    <row x14ac:dyDescent="0.25" r="7" customHeight="1" ht="18.75">
      <c r="A7" s="1">
        <v>1.0625</v>
      </c>
      <c r="B7" s="1"/>
      <c r="C7" s="3"/>
      <c r="D7" s="3"/>
    </row>
    <row x14ac:dyDescent="0.25" r="8" customHeight="1" ht="18.75">
      <c r="A8" s="1">
        <v>1.0729166666666667</v>
      </c>
      <c r="B8" s="1"/>
      <c r="C8" s="3"/>
      <c r="D8" s="3"/>
    </row>
    <row x14ac:dyDescent="0.25" r="9" customHeight="1" ht="18.75">
      <c r="A9" s="1">
        <v>1.0833333333333333</v>
      </c>
      <c r="B9" s="1"/>
      <c r="C9" s="3"/>
      <c r="D9" s="3"/>
    </row>
    <row x14ac:dyDescent="0.25" r="10" customHeight="1" ht="18.75">
      <c r="A10" s="1">
        <v>1.09375</v>
      </c>
      <c r="B10" s="1"/>
      <c r="C10" s="3"/>
      <c r="D10" s="3"/>
    </row>
    <row x14ac:dyDescent="0.25" r="11" customHeight="1" ht="18.75">
      <c r="A11" s="1">
        <v>1.1041666666666667</v>
      </c>
      <c r="B11" s="1"/>
      <c r="C11" s="3"/>
      <c r="D11" s="3"/>
    </row>
    <row x14ac:dyDescent="0.25" r="12" customHeight="1" ht="18.75">
      <c r="A12" s="1">
        <v>1.1145833333333333</v>
      </c>
      <c r="B12" s="1"/>
      <c r="C12" s="3"/>
      <c r="D12" s="3"/>
    </row>
    <row x14ac:dyDescent="0.25" r="13" customHeight="1" ht="18.75">
      <c r="A13" s="1">
        <v>1.125</v>
      </c>
      <c r="B13" s="1"/>
      <c r="C13" s="3"/>
      <c r="D13" s="3"/>
    </row>
    <row x14ac:dyDescent="0.25" r="14" customHeight="1" ht="18.75">
      <c r="A14" s="1">
        <v>1.1354166666666667</v>
      </c>
      <c r="B14" s="1"/>
      <c r="C14" s="3"/>
      <c r="D14" s="3"/>
    </row>
    <row x14ac:dyDescent="0.25" r="15" customHeight="1" ht="18.75">
      <c r="A15" s="1">
        <v>1.1458333333333333</v>
      </c>
      <c r="B15" s="1"/>
      <c r="C15" s="3"/>
      <c r="D15" s="3"/>
    </row>
    <row x14ac:dyDescent="0.25" r="16" customHeight="1" ht="18.75">
      <c r="A16" s="1">
        <v>1.15625</v>
      </c>
      <c r="B16" s="1"/>
      <c r="C16" s="3"/>
      <c r="D16" s="3"/>
    </row>
    <row x14ac:dyDescent="0.25" r="17" customHeight="1" ht="18.75">
      <c r="A17" s="1">
        <v>1.1666666666666667</v>
      </c>
      <c r="B17" s="1"/>
      <c r="C17" s="3"/>
      <c r="D17" s="3"/>
    </row>
    <row x14ac:dyDescent="0.25" r="18" customHeight="1" ht="18.75">
      <c r="A18" s="1">
        <v>1.1770833333333333</v>
      </c>
      <c r="B18" s="1"/>
      <c r="C18" s="3"/>
      <c r="D18" s="3"/>
    </row>
    <row x14ac:dyDescent="0.25" r="19" customHeight="1" ht="18.75">
      <c r="A19" s="1">
        <v>1.1875</v>
      </c>
      <c r="B19" s="1"/>
      <c r="C19" s="3"/>
      <c r="D19" s="3"/>
    </row>
    <row x14ac:dyDescent="0.25" r="20" customHeight="1" ht="18.75">
      <c r="A20" s="1">
        <v>1.1979166666666667</v>
      </c>
      <c r="B20" s="1"/>
      <c r="C20" s="3"/>
      <c r="D20" s="3"/>
    </row>
    <row x14ac:dyDescent="0.25" r="21" customHeight="1" ht="18.75">
      <c r="A21" s="1">
        <v>1.2083333333333333</v>
      </c>
      <c r="B21" s="1"/>
      <c r="C21" s="3"/>
      <c r="D21" s="3"/>
    </row>
    <row x14ac:dyDescent="0.25" r="22" customHeight="1" ht="18.75">
      <c r="A22" s="1">
        <v>1.21875</v>
      </c>
      <c r="B22" s="1"/>
      <c r="C22" s="3"/>
      <c r="D22" s="3"/>
    </row>
    <row x14ac:dyDescent="0.25" r="23" customHeight="1" ht="18.75">
      <c r="A23" s="1">
        <v>1.2291666666666667</v>
      </c>
      <c r="B23" s="1"/>
      <c r="C23" s="3"/>
      <c r="D23" s="3"/>
    </row>
    <row x14ac:dyDescent="0.25" r="24" customHeight="1" ht="18.75">
      <c r="A24" s="1">
        <v>1.2395833333333333</v>
      </c>
      <c r="B24" s="1"/>
      <c r="C24" s="3"/>
      <c r="D24" s="3"/>
    </row>
    <row x14ac:dyDescent="0.25" r="25" customHeight="1" ht="18.75">
      <c r="A25" s="1">
        <v>1.25</v>
      </c>
      <c r="B25" s="1"/>
      <c r="C25" s="3"/>
      <c r="D25" s="3"/>
    </row>
    <row x14ac:dyDescent="0.25" r="26" customHeight="1" ht="18.75">
      <c r="A26" s="1">
        <v>1.2604166666666667</v>
      </c>
      <c r="B26" s="1"/>
      <c r="C26" s="3"/>
      <c r="D26" s="3"/>
    </row>
    <row x14ac:dyDescent="0.25" r="27" customHeight="1" ht="18.75">
      <c r="A27" s="1">
        <v>1.2708333333333333</v>
      </c>
      <c r="B27" s="1"/>
      <c r="C27" s="3"/>
      <c r="D27" s="3"/>
    </row>
    <row x14ac:dyDescent="0.25" r="28" customHeight="1" ht="18.75">
      <c r="A28" s="1">
        <v>1.28125</v>
      </c>
      <c r="B28" s="1"/>
      <c r="C28" s="3"/>
      <c r="D28" s="3"/>
    </row>
    <row x14ac:dyDescent="0.25" r="29" customHeight="1" ht="18.75">
      <c r="A29" s="1">
        <v>1.2916666666666667</v>
      </c>
      <c r="B29" s="1"/>
      <c r="C29" s="3"/>
      <c r="D29" s="3"/>
    </row>
    <row x14ac:dyDescent="0.25" r="30" customHeight="1" ht="18.75">
      <c r="A30" s="1">
        <v>1.3020833333333333</v>
      </c>
      <c r="B30" s="1"/>
      <c r="C30" s="3"/>
      <c r="D30" s="3"/>
    </row>
    <row x14ac:dyDescent="0.25" r="31" customHeight="1" ht="18.75">
      <c r="A31" s="1">
        <v>1.3125</v>
      </c>
      <c r="B31" s="1"/>
      <c r="C31" s="3"/>
      <c r="D31" s="3"/>
    </row>
    <row x14ac:dyDescent="0.25" r="32" customHeight="1" ht="18.75">
      <c r="A32" s="1">
        <v>1.3229166666666667</v>
      </c>
      <c r="B32" s="1"/>
      <c r="C32" s="3"/>
      <c r="D32" s="3"/>
    </row>
    <row x14ac:dyDescent="0.25" r="33" customHeight="1" ht="18.75">
      <c r="A33" s="1">
        <v>1.3333333333333333</v>
      </c>
      <c r="B33" s="1"/>
      <c r="C33" s="3"/>
      <c r="D33" s="3"/>
    </row>
    <row x14ac:dyDescent="0.25" r="34" customHeight="1" ht="18.75">
      <c r="A34" s="1">
        <v>1.34375</v>
      </c>
      <c r="B34" s="1"/>
      <c r="C34" s="3"/>
      <c r="D34" s="3"/>
    </row>
    <row x14ac:dyDescent="0.25" r="35" customHeight="1" ht="18.75">
      <c r="A35" s="1">
        <v>1.3541666666666667</v>
      </c>
      <c r="B35" s="1"/>
      <c r="C35" s="3"/>
      <c r="D35" s="3"/>
    </row>
    <row x14ac:dyDescent="0.25" r="36" customHeight="1" ht="18.75">
      <c r="A36" s="1">
        <v>1.3645833333333333</v>
      </c>
      <c r="B36" s="1"/>
      <c r="C36" s="3"/>
      <c r="D36" s="3"/>
    </row>
    <row x14ac:dyDescent="0.25" r="37" customHeight="1" ht="18.75">
      <c r="A37" s="1">
        <v>1.375</v>
      </c>
      <c r="B37" s="1"/>
      <c r="C37" s="3"/>
      <c r="D37" s="3"/>
    </row>
    <row x14ac:dyDescent="0.25" r="38" customHeight="1" ht="18.75">
      <c r="A38" s="1">
        <v>1.3854166666666667</v>
      </c>
      <c r="B38" s="1"/>
      <c r="C38" s="3"/>
      <c r="D38" s="3"/>
    </row>
    <row x14ac:dyDescent="0.25" r="39" customHeight="1" ht="18.75">
      <c r="A39" s="1">
        <v>1.3958333333333333</v>
      </c>
      <c r="B39" s="1"/>
      <c r="C39" s="3"/>
      <c r="D39" s="3"/>
    </row>
    <row x14ac:dyDescent="0.25" r="40" customHeight="1" ht="18.75">
      <c r="A40" s="1">
        <v>1.40625</v>
      </c>
      <c r="B40" s="1"/>
      <c r="C40" s="3"/>
      <c r="D40" s="3"/>
    </row>
    <row x14ac:dyDescent="0.25" r="41" customHeight="1" ht="18.75">
      <c r="A41" s="1">
        <v>1.4166666666666667</v>
      </c>
      <c r="B41" s="1"/>
      <c r="C41" s="3"/>
      <c r="D41" s="3"/>
    </row>
    <row x14ac:dyDescent="0.25" r="42" customHeight="1" ht="18.75">
      <c r="A42" s="1">
        <v>1.4270833333333333</v>
      </c>
      <c r="B42" s="1"/>
      <c r="C42" s="3"/>
      <c r="D42" s="3"/>
    </row>
    <row x14ac:dyDescent="0.25" r="43" customHeight="1" ht="18.75">
      <c r="A43" s="1">
        <v>1.4375</v>
      </c>
      <c r="B43" s="1"/>
      <c r="C43" s="3"/>
      <c r="D43" s="3"/>
    </row>
    <row x14ac:dyDescent="0.25" r="44" customHeight="1" ht="18.75">
      <c r="A44" s="1">
        <v>1.4479166666666667</v>
      </c>
      <c r="B44" s="1"/>
      <c r="C44" s="3"/>
      <c r="D44" s="3"/>
    </row>
    <row x14ac:dyDescent="0.25" r="45" customHeight="1" ht="18.75">
      <c r="A45" s="1">
        <v>1.4583333333333333</v>
      </c>
      <c r="B45" s="1"/>
      <c r="C45" s="3"/>
      <c r="D45" s="3"/>
    </row>
    <row x14ac:dyDescent="0.25" r="46" customHeight="1" ht="18.75">
      <c r="A46" s="1">
        <v>1.46875</v>
      </c>
      <c r="B46" s="1"/>
      <c r="C46" s="3"/>
      <c r="D46" s="3"/>
    </row>
    <row x14ac:dyDescent="0.25" r="47" customHeight="1" ht="18.75">
      <c r="A47" s="1">
        <v>1.4791666666666667</v>
      </c>
      <c r="B47" s="1"/>
      <c r="C47" s="3"/>
      <c r="D47" s="3"/>
    </row>
    <row x14ac:dyDescent="0.25" r="48" customHeight="1" ht="18.75">
      <c r="A48" s="1">
        <v>1.4895833333333333</v>
      </c>
      <c r="B48" s="1"/>
      <c r="C48" s="3"/>
      <c r="D48" s="3"/>
    </row>
    <row x14ac:dyDescent="0.25" r="49" customHeight="1" ht="18.75">
      <c r="A49" s="1">
        <v>1.5</v>
      </c>
      <c r="B49" s="1"/>
      <c r="C49" s="3"/>
      <c r="D49" s="3"/>
    </row>
    <row x14ac:dyDescent="0.25" r="50" customHeight="1" ht="18.75">
      <c r="A50" s="1">
        <v>1.5104166666666665</v>
      </c>
      <c r="B50" s="1"/>
      <c r="C50" s="3"/>
      <c r="D50" s="3"/>
    </row>
    <row x14ac:dyDescent="0.25" r="51" customHeight="1" ht="18.75">
      <c r="A51" s="1">
        <v>1.5208333333333335</v>
      </c>
      <c r="B51" s="1"/>
      <c r="C51" s="3"/>
      <c r="D51" s="3"/>
    </row>
    <row x14ac:dyDescent="0.25" r="52" customHeight="1" ht="18.75">
      <c r="A52" s="1">
        <v>1.53125</v>
      </c>
      <c r="B52" s="1"/>
      <c r="C52" s="3"/>
      <c r="D52" s="3"/>
    </row>
    <row x14ac:dyDescent="0.25" r="53" customHeight="1" ht="18.75">
      <c r="A53" s="1">
        <v>1.5416666666666665</v>
      </c>
      <c r="B53" s="1"/>
      <c r="C53" s="3"/>
      <c r="D53" s="3"/>
    </row>
    <row x14ac:dyDescent="0.25" r="54" customHeight="1" ht="18.75">
      <c r="A54" s="1">
        <v>1.5520833333333335</v>
      </c>
      <c r="B54" s="1"/>
      <c r="C54" s="3"/>
      <c r="D54" s="3"/>
    </row>
    <row x14ac:dyDescent="0.25" r="55" customHeight="1" ht="18.75">
      <c r="A55" s="1">
        <v>1.5625</v>
      </c>
      <c r="B55" s="1"/>
      <c r="C55" s="3"/>
      <c r="D55" s="3"/>
    </row>
    <row x14ac:dyDescent="0.25" r="56" customHeight="1" ht="18.75">
      <c r="A56" s="1">
        <v>1.5729166666666665</v>
      </c>
      <c r="B56" s="1"/>
      <c r="C56" s="3"/>
      <c r="D56" s="3"/>
    </row>
    <row x14ac:dyDescent="0.25" r="57" customHeight="1" ht="18.75">
      <c r="A57" s="1">
        <v>1.5833333333333335</v>
      </c>
      <c r="B57" s="1"/>
      <c r="C57" s="3"/>
      <c r="D57" s="3"/>
    </row>
    <row x14ac:dyDescent="0.25" r="58" customHeight="1" ht="18.75">
      <c r="A58" s="1">
        <v>1.59375</v>
      </c>
      <c r="B58" s="1"/>
      <c r="C58" s="3"/>
      <c r="D58" s="3"/>
    </row>
    <row x14ac:dyDescent="0.25" r="59" customHeight="1" ht="18.75">
      <c r="A59" s="1">
        <v>1.6041666666666665</v>
      </c>
      <c r="B59" s="1"/>
      <c r="C59" s="3"/>
      <c r="D59" s="3"/>
    </row>
    <row x14ac:dyDescent="0.25" r="60" customHeight="1" ht="18.75">
      <c r="A60" s="1">
        <v>1.6145833333333335</v>
      </c>
      <c r="B60" s="1"/>
      <c r="C60" s="3"/>
      <c r="D60" s="3"/>
    </row>
    <row x14ac:dyDescent="0.25" r="61" customHeight="1" ht="18.75">
      <c r="A61" s="1">
        <v>1.625</v>
      </c>
      <c r="B61" s="1"/>
      <c r="C61" s="3"/>
      <c r="D61" s="3"/>
    </row>
    <row x14ac:dyDescent="0.25" r="62" customHeight="1" ht="18.75">
      <c r="A62" s="1">
        <v>1.6354166666666665</v>
      </c>
      <c r="B62" s="1"/>
      <c r="C62" s="3"/>
      <c r="D62" s="3"/>
    </row>
    <row x14ac:dyDescent="0.25" r="63" customHeight="1" ht="18.75">
      <c r="A63" s="1">
        <v>1.6458333333333335</v>
      </c>
      <c r="B63" s="1"/>
      <c r="C63" s="3"/>
      <c r="D63" s="3"/>
    </row>
    <row x14ac:dyDescent="0.25" r="64" customHeight="1" ht="18.75">
      <c r="A64" s="1">
        <v>1.65625</v>
      </c>
      <c r="B64" s="1"/>
      <c r="C64" s="3"/>
      <c r="D64" s="3"/>
    </row>
    <row x14ac:dyDescent="0.25" r="65" customHeight="1" ht="18.75">
      <c r="A65" s="1">
        <v>1.6666666666666665</v>
      </c>
      <c r="B65" s="1"/>
      <c r="C65" s="3"/>
      <c r="D65" s="3"/>
    </row>
    <row x14ac:dyDescent="0.25" r="66" customHeight="1" ht="18.75">
      <c r="A66" s="1">
        <v>1.6770833333333335</v>
      </c>
      <c r="B66" s="1"/>
      <c r="C66" s="3"/>
      <c r="D66" s="3"/>
    </row>
    <row x14ac:dyDescent="0.25" r="67" customHeight="1" ht="18.75">
      <c r="A67" s="1">
        <v>1.6875</v>
      </c>
      <c r="B67" s="1"/>
      <c r="C67" s="3"/>
      <c r="D67" s="3"/>
    </row>
    <row x14ac:dyDescent="0.25" r="68" customHeight="1" ht="18.75">
      <c r="A68" s="1">
        <v>1.6979166666666665</v>
      </c>
      <c r="B68" s="1"/>
      <c r="C68" s="3"/>
      <c r="D68" s="3"/>
    </row>
    <row x14ac:dyDescent="0.25" r="69" customHeight="1" ht="18.75">
      <c r="A69" s="1">
        <v>1.7083333333333335</v>
      </c>
      <c r="B69" s="1"/>
      <c r="C69" s="3"/>
      <c r="D69" s="3"/>
    </row>
    <row x14ac:dyDescent="0.25" r="70" customHeight="1" ht="18.75">
      <c r="A70" s="1">
        <v>1.71875</v>
      </c>
      <c r="B70" s="1"/>
      <c r="C70" s="3"/>
      <c r="D70" s="3"/>
    </row>
    <row x14ac:dyDescent="0.25" r="71" customHeight="1" ht="18.75">
      <c r="A71" s="1">
        <v>1.7291666666666665</v>
      </c>
      <c r="B71" s="1"/>
      <c r="C71" s="3"/>
      <c r="D71" s="3"/>
    </row>
    <row x14ac:dyDescent="0.25" r="72" customHeight="1" ht="18.75">
      <c r="A72" s="1">
        <v>1.7395833333333335</v>
      </c>
      <c r="B72" s="1"/>
      <c r="C72" s="3"/>
      <c r="D72" s="3"/>
    </row>
    <row x14ac:dyDescent="0.25" r="73" customHeight="1" ht="18.75">
      <c r="A73" s="1">
        <v>1.75</v>
      </c>
      <c r="B73" s="1"/>
      <c r="C73" s="3"/>
      <c r="D73" s="3"/>
    </row>
    <row x14ac:dyDescent="0.25" r="74" customHeight="1" ht="18.75">
      <c r="A74" s="1">
        <v>1.7604166666666665</v>
      </c>
      <c r="B74" s="1"/>
      <c r="C74" s="3"/>
      <c r="D74" s="3"/>
    </row>
    <row x14ac:dyDescent="0.25" r="75" customHeight="1" ht="18.75">
      <c r="A75" s="1">
        <v>1.7708333333333335</v>
      </c>
      <c r="B75" s="1"/>
      <c r="C75" s="3"/>
      <c r="D75" s="3"/>
    </row>
    <row x14ac:dyDescent="0.25" r="76" customHeight="1" ht="18.75">
      <c r="A76" s="1">
        <v>1.78125</v>
      </c>
      <c r="B76" s="1"/>
      <c r="C76" s="3"/>
      <c r="D76" s="3"/>
    </row>
    <row x14ac:dyDescent="0.25" r="77" customHeight="1" ht="18.75">
      <c r="A77" s="1">
        <v>1.7916666666666665</v>
      </c>
      <c r="B77" s="1"/>
      <c r="C77" s="3"/>
      <c r="D77" s="3"/>
    </row>
    <row x14ac:dyDescent="0.25" r="78" customHeight="1" ht="18.75">
      <c r="A78" s="1">
        <v>1.8020833333333335</v>
      </c>
      <c r="B78" s="1"/>
      <c r="C78" s="3"/>
      <c r="D78" s="3"/>
    </row>
    <row x14ac:dyDescent="0.25" r="79" customHeight="1" ht="18.75">
      <c r="A79" s="1">
        <v>1.8125</v>
      </c>
      <c r="B79" s="1"/>
      <c r="C79" s="3"/>
      <c r="D79" s="3"/>
    </row>
    <row x14ac:dyDescent="0.25" r="80" customHeight="1" ht="18.75">
      <c r="A80" s="1">
        <v>1.8229166666666665</v>
      </c>
      <c r="B80" s="1"/>
      <c r="C80" s="3"/>
      <c r="D80" s="3"/>
    </row>
    <row x14ac:dyDescent="0.25" r="81" customHeight="1" ht="18.75">
      <c r="A81" s="1">
        <v>1.8333333333333335</v>
      </c>
      <c r="B81" s="1"/>
      <c r="C81" s="3"/>
      <c r="D81" s="3"/>
    </row>
    <row x14ac:dyDescent="0.25" r="82" customHeight="1" ht="18.75">
      <c r="A82" s="1">
        <v>1.84375</v>
      </c>
      <c r="B82" s="1"/>
      <c r="C82" s="3"/>
      <c r="D82" s="3"/>
    </row>
    <row x14ac:dyDescent="0.25" r="83" customHeight="1" ht="18.75">
      <c r="A83" s="1">
        <v>1.8541666666666665</v>
      </c>
      <c r="B83" s="1"/>
      <c r="C83" s="3"/>
      <c r="D83" s="3"/>
    </row>
    <row x14ac:dyDescent="0.25" r="84" customHeight="1" ht="18.75">
      <c r="A84" s="1">
        <v>1.8645833333333335</v>
      </c>
      <c r="B84" s="1"/>
      <c r="C84" s="3"/>
      <c r="D84" s="3"/>
    </row>
    <row x14ac:dyDescent="0.25" r="85" customHeight="1" ht="18.75">
      <c r="A85" s="1">
        <v>1.875</v>
      </c>
      <c r="B85" s="1"/>
      <c r="C85" s="3"/>
      <c r="D85" s="3"/>
    </row>
    <row x14ac:dyDescent="0.25" r="86" customHeight="1" ht="18.75">
      <c r="A86" s="1">
        <v>1.8854166666666665</v>
      </c>
      <c r="B86" s="1"/>
      <c r="C86" s="3"/>
      <c r="D86" s="3"/>
    </row>
    <row x14ac:dyDescent="0.25" r="87" customHeight="1" ht="18.75">
      <c r="A87" s="1">
        <v>1.8958333333333335</v>
      </c>
      <c r="B87" s="1"/>
      <c r="C87" s="3"/>
      <c r="D87" s="3"/>
    </row>
    <row x14ac:dyDescent="0.25" r="88" customHeight="1" ht="18.75">
      <c r="A88" s="1">
        <v>1.90625</v>
      </c>
      <c r="B88" s="1"/>
      <c r="C88" s="3"/>
      <c r="D88" s="3"/>
    </row>
    <row x14ac:dyDescent="0.25" r="89" customHeight="1" ht="18.75">
      <c r="A89" s="1">
        <v>1.9166666666666665</v>
      </c>
      <c r="B89" s="1"/>
      <c r="C89" s="3"/>
      <c r="D89" s="3"/>
    </row>
    <row x14ac:dyDescent="0.25" r="90" customHeight="1" ht="18.75">
      <c r="A90" s="1">
        <v>1.9270833333333335</v>
      </c>
      <c r="B90" s="1"/>
      <c r="C90" s="3"/>
      <c r="D90" s="3"/>
    </row>
    <row x14ac:dyDescent="0.25" r="91" customHeight="1" ht="18.75">
      <c r="A91" s="1">
        <v>1.9375</v>
      </c>
      <c r="B91" s="1"/>
      <c r="C91" s="3"/>
      <c r="D91" s="3"/>
    </row>
    <row x14ac:dyDescent="0.25" r="92" customHeight="1" ht="18.75">
      <c r="A92" s="1">
        <v>1.9479166666666665</v>
      </c>
      <c r="B92" s="1"/>
      <c r="C92" s="3"/>
      <c r="D92" s="3"/>
    </row>
    <row x14ac:dyDescent="0.25" r="93" customHeight="1" ht="18.75">
      <c r="A93" s="1">
        <v>1.9583333333333335</v>
      </c>
      <c r="B93" s="1"/>
      <c r="C93" s="3"/>
      <c r="D93" s="3"/>
    </row>
    <row x14ac:dyDescent="0.25" r="94" customHeight="1" ht="18.75">
      <c r="A94" s="1">
        <v>1.96875</v>
      </c>
      <c r="B94" s="1"/>
      <c r="C94" s="3"/>
      <c r="D94" s="3"/>
    </row>
    <row x14ac:dyDescent="0.25" r="95" customHeight="1" ht="18.75">
      <c r="A95" s="1">
        <v>1.9791666666666665</v>
      </c>
      <c r="B95" s="1"/>
      <c r="C95" s="3"/>
      <c r="D95" s="3"/>
    </row>
    <row x14ac:dyDescent="0.25" r="96" customHeight="1" ht="18.75">
      <c r="A96" s="1">
        <v>1.9895833333333335</v>
      </c>
      <c r="B96" s="1"/>
      <c r="C96" s="3"/>
      <c r="D9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Wochenbericht</vt:lpstr>
      <vt:lpstr>Uhrzeiten - Zulage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2026-03-08T16:52:38.730Z</dcterms:created>
  <dcterms:modified xsi:type="dcterms:W3CDTF">2026-03-08T16:52:38.730Z</dcterms:modified>
</cp:coreProperties>
</file>